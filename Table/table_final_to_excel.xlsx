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Martins\Desktop\Pastas\R_analises\mixed_forest_biomass\Table\"/>
    </mc:Choice>
  </mc:AlternateContent>
  <xr:revisionPtr revIDLastSave="0" documentId="13_ncr:1_{945B6036-074C-4957-83B8-325B9ECBB92B}" xr6:coauthVersionLast="47" xr6:coauthVersionMax="47" xr10:uidLastSave="{00000000-0000-0000-0000-000000000000}"/>
  <bookViews>
    <workbookView xWindow="-108" yWindow="-108" windowWidth="23256" windowHeight="12456" xr2:uid="{D9900A7B-EF56-4405-A46F-E71FB364EDF2}"/>
  </bookViews>
  <sheets>
    <sheet name="table_final_to_excel" sheetId="1" r:id="rId1"/>
  </sheets>
  <definedNames>
    <definedName name="_xlnm._FilterDatabase" localSheetId="0" hidden="1">table_final_to_excel!$D$2:$J$406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6" i="1" l="1"/>
  <c r="P406" i="1"/>
  <c r="P390" i="1"/>
  <c r="P388" i="1"/>
  <c r="P385" i="1"/>
  <c r="P359" i="1"/>
  <c r="P323" i="1"/>
  <c r="P321" i="1"/>
  <c r="P312" i="1"/>
  <c r="P311" i="1"/>
  <c r="P310" i="1"/>
  <c r="P309" i="1"/>
  <c r="P305" i="1"/>
  <c r="P293" i="1"/>
  <c r="P282" i="1"/>
  <c r="P277" i="1"/>
  <c r="P272" i="1"/>
  <c r="P269" i="1"/>
  <c r="P263" i="1"/>
  <c r="P261" i="1"/>
  <c r="P255" i="1"/>
  <c r="P250" i="1"/>
  <c r="P194" i="1"/>
  <c r="P174" i="1"/>
  <c r="P139" i="1"/>
  <c r="P95" i="1"/>
  <c r="P87" i="1"/>
  <c r="P63" i="1"/>
  <c r="P56" i="1"/>
  <c r="P55" i="1"/>
  <c r="P50" i="1"/>
  <c r="P42" i="1"/>
  <c r="P30" i="1"/>
  <c r="P11" i="1"/>
  <c r="I390" i="1"/>
  <c r="I388" i="1"/>
  <c r="I385" i="1"/>
  <c r="I359" i="1"/>
  <c r="I323" i="1"/>
  <c r="I321" i="1"/>
  <c r="I312" i="1"/>
  <c r="I311" i="1"/>
  <c r="I310" i="1"/>
  <c r="I309" i="1"/>
  <c r="I305" i="1"/>
  <c r="I293" i="1"/>
  <c r="I282" i="1"/>
  <c r="I277" i="1"/>
  <c r="I272" i="1"/>
  <c r="I269" i="1"/>
  <c r="I263" i="1"/>
  <c r="I261" i="1"/>
  <c r="I255" i="1"/>
  <c r="I250" i="1"/>
  <c r="I194" i="1"/>
  <c r="I174" i="1"/>
  <c r="I139" i="1"/>
  <c r="I95" i="1"/>
  <c r="I87" i="1"/>
  <c r="I63" i="1"/>
  <c r="I56" i="1"/>
  <c r="I55" i="1"/>
  <c r="I50" i="1"/>
  <c r="I42" i="1"/>
  <c r="I30" i="1"/>
  <c r="I11" i="1"/>
</calcChain>
</file>

<file path=xl/sharedStrings.xml><?xml version="1.0" encoding="utf-8"?>
<sst xmlns="http://schemas.openxmlformats.org/spreadsheetml/2006/main" count="764" uniqueCount="417">
  <si>
    <t>Anacardiaceae</t>
  </si>
  <si>
    <t>Trop</t>
  </si>
  <si>
    <t>Annonaceae</t>
  </si>
  <si>
    <t>Apocynaceae</t>
  </si>
  <si>
    <t>Aquifoliaceae</t>
  </si>
  <si>
    <t>Temp</t>
  </si>
  <si>
    <t>Araliaceae</t>
  </si>
  <si>
    <t>Araucariaceae</t>
  </si>
  <si>
    <t>Arecaceae</t>
  </si>
  <si>
    <t>Asparagaceae</t>
  </si>
  <si>
    <t>Asteraceae</t>
  </si>
  <si>
    <t>Bignoniaceae</t>
  </si>
  <si>
    <t>Boraginaceae</t>
  </si>
  <si>
    <t>Canellaceae</t>
  </si>
  <si>
    <t>Cannabaceae</t>
  </si>
  <si>
    <t>Cardiopteridaceae</t>
  </si>
  <si>
    <t>Caricaceae</t>
  </si>
  <si>
    <t>Celastraceae</t>
  </si>
  <si>
    <t>Chrysobalanaceae</t>
  </si>
  <si>
    <t>Clethraceae</t>
  </si>
  <si>
    <t>Combretaceae</t>
  </si>
  <si>
    <t>Cunoniaceae</t>
  </si>
  <si>
    <t>Elaeocarpaceae</t>
  </si>
  <si>
    <t>Ericaceae</t>
  </si>
  <si>
    <t>Erythroxylaceae</t>
  </si>
  <si>
    <t>Euphorbiaceae</t>
  </si>
  <si>
    <t>Fabaceae</t>
  </si>
  <si>
    <t>Lamiaceae</t>
  </si>
  <si>
    <t>Lauraceae</t>
  </si>
  <si>
    <t>Loganiaceae</t>
  </si>
  <si>
    <t>Lythraceae</t>
  </si>
  <si>
    <t>Malpighiaceae</t>
  </si>
  <si>
    <t>Malvaceae</t>
  </si>
  <si>
    <t>Melastomataceae</t>
  </si>
  <si>
    <t>Meliaceae</t>
  </si>
  <si>
    <t>Monimiaceae</t>
  </si>
  <si>
    <t>Moraceae</t>
  </si>
  <si>
    <t>Myrtaceae</t>
  </si>
  <si>
    <t>Nyctaginaceae</t>
  </si>
  <si>
    <t>Olacaceae</t>
  </si>
  <si>
    <t>Opiliaceae</t>
  </si>
  <si>
    <t>Pentaphylacaceae</t>
  </si>
  <si>
    <t>Peraceae</t>
  </si>
  <si>
    <t>Phytolaccaceae</t>
  </si>
  <si>
    <t>Picramniaceae</t>
  </si>
  <si>
    <t>Podocarpaceae</t>
  </si>
  <si>
    <t>Polygonaceae</t>
  </si>
  <si>
    <t>Primulaceae</t>
  </si>
  <si>
    <t>Proteaceae</t>
  </si>
  <si>
    <t>Rhamnaceae</t>
  </si>
  <si>
    <t>Rosaceae</t>
  </si>
  <si>
    <t>Rubiaceae</t>
  </si>
  <si>
    <t>Rutaceae</t>
  </si>
  <si>
    <t>Sabiaceae</t>
  </si>
  <si>
    <t>Salicaceae</t>
  </si>
  <si>
    <t>Sapindaceae</t>
  </si>
  <si>
    <t>Sapotaceae</t>
  </si>
  <si>
    <t>Simaroubaceae</t>
  </si>
  <si>
    <t>Solanaceae</t>
  </si>
  <si>
    <t>Styracaceae</t>
  </si>
  <si>
    <t>Symplocaceae</t>
  </si>
  <si>
    <t>Thymelaeaceae</t>
  </si>
  <si>
    <t>Urticaceae</t>
  </si>
  <si>
    <t>Vochysiaceae</t>
  </si>
  <si>
    <t>Winteraceae</t>
  </si>
  <si>
    <t>Species Abundance</t>
  </si>
  <si>
    <t>MF1</t>
  </si>
  <si>
    <t>MF2</t>
  </si>
  <si>
    <t>MF3</t>
  </si>
  <si>
    <t>MF4</t>
  </si>
  <si>
    <t>MF5</t>
  </si>
  <si>
    <t>MF6</t>
  </si>
  <si>
    <t>Family</t>
  </si>
  <si>
    <t>Aboveground Biomass (Mg)</t>
  </si>
  <si>
    <t>Lithraea molleoides</t>
  </si>
  <si>
    <t>Tapirira guianensis</t>
  </si>
  <si>
    <t>Annona emarginata</t>
  </si>
  <si>
    <t>Astronium graveolens</t>
  </si>
  <si>
    <t>Annona mucosa</t>
  </si>
  <si>
    <t>Annona rugulosa</t>
  </si>
  <si>
    <t>Annona sylvatica</t>
  </si>
  <si>
    <t>Duguetia lanceolata</t>
  </si>
  <si>
    <t>Guatteria australis</t>
  </si>
  <si>
    <t>Guatteria hilariana</t>
  </si>
  <si>
    <t>Guatteria nigrescens</t>
  </si>
  <si>
    <t>Porcelia macrocarpa</t>
  </si>
  <si>
    <t>Rollinia silvatica</t>
  </si>
  <si>
    <t>Xylopia brasiliensis</t>
  </si>
  <si>
    <t>Xylopia langsdorffiana</t>
  </si>
  <si>
    <t>Aspidosperma olivaceum</t>
  </si>
  <si>
    <t>Aspidosperma polyneurum</t>
  </si>
  <si>
    <t>Aspidosperma quirandy</t>
  </si>
  <si>
    <t>Tabernaemontana laeta</t>
  </si>
  <si>
    <t>Ilex (=2015 2190)</t>
  </si>
  <si>
    <t>Ilex (=2015 2273)</t>
  </si>
  <si>
    <t>Ilex amara</t>
  </si>
  <si>
    <t>Ilex chamaedryfolia</t>
  </si>
  <si>
    <t>Ilex dumosa</t>
  </si>
  <si>
    <t>Ilex microdonta</t>
  </si>
  <si>
    <t>Ilex paraguariensis</t>
  </si>
  <si>
    <t>Ilex pseudobuxus</t>
  </si>
  <si>
    <t>Ilex taubertiana</t>
  </si>
  <si>
    <t>Ilex theezans</t>
  </si>
  <si>
    <t>Dendropanax cuneatus</t>
  </si>
  <si>
    <t>Schefflera angustissima</t>
  </si>
  <si>
    <t>Schefflera calva</t>
  </si>
  <si>
    <t>Araucaria angustifolia</t>
  </si>
  <si>
    <t>Euterpe edulis</t>
  </si>
  <si>
    <t>Syagrus romanzoffiana</t>
  </si>
  <si>
    <t>Cordyline fruticosa</t>
  </si>
  <si>
    <t>Baccharis oblongifolia</t>
  </si>
  <si>
    <t>Baccharis oreophila</t>
  </si>
  <si>
    <t>Chromolaena pedunculosa</t>
  </si>
  <si>
    <t>Critoniopsis stellata</t>
  </si>
  <si>
    <t>Dasyphyllum spinescens</t>
  </si>
  <si>
    <t>Gochnatia polymorpha</t>
  </si>
  <si>
    <t>Moquiniastrum polymorphum</t>
  </si>
  <si>
    <t>Piptocarpha regnellii</t>
  </si>
  <si>
    <t>Vernonanthura discolor</t>
  </si>
  <si>
    <t>Vernonanthura divaricata</t>
  </si>
  <si>
    <t>Vernonia discolor</t>
  </si>
  <si>
    <t>Vernonia sp.</t>
  </si>
  <si>
    <t>Handroanthus ochraceus</t>
  </si>
  <si>
    <t>Jacaranda cuspidifolia</t>
  </si>
  <si>
    <t>Jacaranda micrantha</t>
  </si>
  <si>
    <t>Jacaranda puberula</t>
  </si>
  <si>
    <t>Zeyheria tuberculosa</t>
  </si>
  <si>
    <t>Cordia sp.</t>
  </si>
  <si>
    <t>Patagonula americana</t>
  </si>
  <si>
    <t>Capsicodendron dinisii</t>
  </si>
  <si>
    <t>Trema micrantha</t>
  </si>
  <si>
    <t>Citronella paniculata</t>
  </si>
  <si>
    <t>Jacaratia heptaphylla</t>
  </si>
  <si>
    <t>Maytenus aquifolia</t>
  </si>
  <si>
    <t>Maytenus evonymoides</t>
  </si>
  <si>
    <t>Maytenus salicifolia</t>
  </si>
  <si>
    <t>Maytenus sp.1</t>
  </si>
  <si>
    <t>Licania kunthiana</t>
  </si>
  <si>
    <t>Clethra scabra</t>
  </si>
  <si>
    <t>Terminalia triflora</t>
  </si>
  <si>
    <t>Weinmannia paulliniifolia</t>
  </si>
  <si>
    <t>Sloanea lasiocoma</t>
  </si>
  <si>
    <t>Agarista oleifolia</t>
  </si>
  <si>
    <t>Erythroxylum cuneifolium</t>
  </si>
  <si>
    <t>Actinostemon concepcionis</t>
  </si>
  <si>
    <t>Alchornea glandulosa</t>
  </si>
  <si>
    <t>Alchornea triplinervia</t>
  </si>
  <si>
    <t>Croton floribundus</t>
  </si>
  <si>
    <t>Croton macrobothrys</t>
  </si>
  <si>
    <t>Micrandra sp.</t>
  </si>
  <si>
    <t>Sapium glandulosum</t>
  </si>
  <si>
    <t>Sebastiania brasiliensis</t>
  </si>
  <si>
    <t>Sebastiania klotzschiana</t>
  </si>
  <si>
    <t>Tetrorchidium rubrivenium</t>
  </si>
  <si>
    <t>Acacia polyphylla</t>
  </si>
  <si>
    <t>Anadenanthera sp.</t>
  </si>
  <si>
    <t>Cassia leptophylla</t>
  </si>
  <si>
    <t>Copaifera langsdorffii</t>
  </si>
  <si>
    <t>Copaifera trapezifolia</t>
  </si>
  <si>
    <t>Dalbergia brasiliensis</t>
  </si>
  <si>
    <t>Dalbergia myriantha</t>
  </si>
  <si>
    <t>Enterolobium sp.</t>
  </si>
  <si>
    <t>Erythrina falcata</t>
  </si>
  <si>
    <t>Exostyles godoyensis</t>
  </si>
  <si>
    <t>Holocalyx glaziovii</t>
  </si>
  <si>
    <t>Inga edwalii</t>
  </si>
  <si>
    <t>Inga marginata</t>
  </si>
  <si>
    <t>Inga sessilis</t>
  </si>
  <si>
    <t>Inga striata</t>
  </si>
  <si>
    <t>Leucochloron incuriale</t>
  </si>
  <si>
    <t>Lonchocarpus campestris</t>
  </si>
  <si>
    <t>Lonchocarpus cultratus</t>
  </si>
  <si>
    <t>Machaerium hatschbachii</t>
  </si>
  <si>
    <t>Machaerium minutiflorum</t>
  </si>
  <si>
    <t>Machaerium nyctitans</t>
  </si>
  <si>
    <t>Machaerium paraguariense</t>
  </si>
  <si>
    <t>Machaerium scleroxylon</t>
  </si>
  <si>
    <t>Machaerium sp.</t>
  </si>
  <si>
    <t>Machaerium stipitatum</t>
  </si>
  <si>
    <t>Machaerium vestitum</t>
  </si>
  <si>
    <t>Machaerium villosum</t>
  </si>
  <si>
    <t>Mimosa scabrela</t>
  </si>
  <si>
    <t>Mimosa scabrella</t>
  </si>
  <si>
    <t>Ormosia sp.</t>
  </si>
  <si>
    <t>Parapiptadenia rigida</t>
  </si>
  <si>
    <t>Piptadenia gonoacantha</t>
  </si>
  <si>
    <t>Pithecellobium langsdorffii</t>
  </si>
  <si>
    <t>Poecilanthe parviflora</t>
  </si>
  <si>
    <t>Senna macranthera</t>
  </si>
  <si>
    <t>Senna multijuga</t>
  </si>
  <si>
    <t>Swartzia acutifolia</t>
  </si>
  <si>
    <t>Aegiphila integrifolia</t>
  </si>
  <si>
    <t>Vitex polygama</t>
  </si>
  <si>
    <t>Cinnamomum glaziovii</t>
  </si>
  <si>
    <t>Cinnamomum sellowianum</t>
  </si>
  <si>
    <t>Cinnamomum sp.1</t>
  </si>
  <si>
    <t>Cinnamomum triplinerve</t>
  </si>
  <si>
    <t>Endlicheria paniculata</t>
  </si>
  <si>
    <t>Nectandra angustifolia</t>
  </si>
  <si>
    <t>Nectandra lanceolata</t>
  </si>
  <si>
    <t>Nectandra megapotamica</t>
  </si>
  <si>
    <t>Nectandra nitidula</t>
  </si>
  <si>
    <t>Nectandra oppositifolia</t>
  </si>
  <si>
    <t>Ocotea bicolor</t>
  </si>
  <si>
    <t>Ocotea brachybotra</t>
  </si>
  <si>
    <t>Ocotea corymbosa</t>
  </si>
  <si>
    <t>Ocotea diospyrifolia</t>
  </si>
  <si>
    <t>Ocotea dispersa</t>
  </si>
  <si>
    <t>Ocotea elegans</t>
  </si>
  <si>
    <t>Ocotea glaziovii</t>
  </si>
  <si>
    <t>Ocotea indecora</t>
  </si>
  <si>
    <t>Ocotea nutans</t>
  </si>
  <si>
    <t>Ocotea odorifera</t>
  </si>
  <si>
    <t>Ocotea prolifera</t>
  </si>
  <si>
    <t>Ocotea puberula</t>
  </si>
  <si>
    <t>Ocotea pulchella</t>
  </si>
  <si>
    <t>Ocotea silvestris</t>
  </si>
  <si>
    <t>Ocotea sp.</t>
  </si>
  <si>
    <t>Ocotea teleiandra</t>
  </si>
  <si>
    <t>Persea alba</t>
  </si>
  <si>
    <t>Persea microneura</t>
  </si>
  <si>
    <t>Persea sp.</t>
  </si>
  <si>
    <t>Persea willdenovii</t>
  </si>
  <si>
    <t>Strichnos brasiliensis</t>
  </si>
  <si>
    <t>Lafoensia pacari</t>
  </si>
  <si>
    <t>Bunchosia pallescens</t>
  </si>
  <si>
    <t>Ceiba speciosa</t>
  </si>
  <si>
    <t>Guazuma ulmifolia</t>
  </si>
  <si>
    <t>Luehea divaricata</t>
  </si>
  <si>
    <t>Pseudobombax grandiflorum</t>
  </si>
  <si>
    <t>Miconia budlejoides</t>
  </si>
  <si>
    <t>Miconia cinerascens</t>
  </si>
  <si>
    <t>Miconia doriana</t>
  </si>
  <si>
    <t>Miconia hymenonervia</t>
  </si>
  <si>
    <t>Miconia ligustroides</t>
  </si>
  <si>
    <t>Miconia petropolitana</t>
  </si>
  <si>
    <t>Miconia pusiliflora</t>
  </si>
  <si>
    <t>Miconia shepherdii</t>
  </si>
  <si>
    <t>Miconia sp.</t>
  </si>
  <si>
    <t>Miconia tristis</t>
  </si>
  <si>
    <t>Cabralea canjerana</t>
  </si>
  <si>
    <t>Cedrela fissilis</t>
  </si>
  <si>
    <t>Guarea macrophylla</t>
  </si>
  <si>
    <t>Trichilia catigua</t>
  </si>
  <si>
    <t>Trichilia claussenii</t>
  </si>
  <si>
    <t>Trichilia elegans</t>
  </si>
  <si>
    <t>Trichilia pallida</t>
  </si>
  <si>
    <t>Mollinedia argyrogyna</t>
  </si>
  <si>
    <t>Mollinedia elegans</t>
  </si>
  <si>
    <t>Mollinedia schottiana</t>
  </si>
  <si>
    <t>Ficus luschnathiana</t>
  </si>
  <si>
    <t>Ficus sp.</t>
  </si>
  <si>
    <t>Sorocea bonplandii</t>
  </si>
  <si>
    <t>Blepharocalyx salicifolius</t>
  </si>
  <si>
    <t>Calyptranthes (=1475 coletado)</t>
  </si>
  <si>
    <t>Calyptranthes grandifolia</t>
  </si>
  <si>
    <t>Calyptranthes lucida</t>
  </si>
  <si>
    <t>Calyptranthes sp.</t>
  </si>
  <si>
    <t>Calyptranthes widgreniana</t>
  </si>
  <si>
    <t>Campomanesia eugenioides</t>
  </si>
  <si>
    <t>Campomanesia guazumifolia</t>
  </si>
  <si>
    <t>Campomanesia sp.</t>
  </si>
  <si>
    <t>Campomanesia sp.2</t>
  </si>
  <si>
    <t>Campomanesia xanthocarpa</t>
  </si>
  <si>
    <t>Eugenia cerasiflora</t>
  </si>
  <si>
    <t>Eugenia dodonaeifolia</t>
  </si>
  <si>
    <t>Eugenia involucrata</t>
  </si>
  <si>
    <t>Eugenia ligustrina</t>
  </si>
  <si>
    <t>Eugenia neoformosa</t>
  </si>
  <si>
    <t>Eugenia neoverrucosa</t>
  </si>
  <si>
    <t>Eugenia pluriflora</t>
  </si>
  <si>
    <t>Eugenia ramboi</t>
  </si>
  <si>
    <t>Eugenia sp.</t>
  </si>
  <si>
    <t>Eugenia sp.2</t>
  </si>
  <si>
    <t>Eugenia sp.7</t>
  </si>
  <si>
    <t>Eugenia speciosa</t>
  </si>
  <si>
    <t>Eugenia stenophylla</t>
  </si>
  <si>
    <t>Eugenia stictosepala</t>
  </si>
  <si>
    <t>Eugenia uniflora</t>
  </si>
  <si>
    <t>Myciaria tenella</t>
  </si>
  <si>
    <t>Myrceugenia bracteosa</t>
  </si>
  <si>
    <t>Myrceugenia brevipedicellata</t>
  </si>
  <si>
    <t>Myrceugenia campestris</t>
  </si>
  <si>
    <t>Myrceugenia miersiana</t>
  </si>
  <si>
    <t>Myrceugenia ovata</t>
  </si>
  <si>
    <t>Myrceugenia regnelliana</t>
  </si>
  <si>
    <t>Myrceugenia rufescens</t>
  </si>
  <si>
    <t>Myrceugenia scutellata</t>
  </si>
  <si>
    <t>Myrceugenia sp. 2</t>
  </si>
  <si>
    <t>Myrcia aethusa</t>
  </si>
  <si>
    <t>Myrcia bicarinata</t>
  </si>
  <si>
    <t>Myrcia guianensis</t>
  </si>
  <si>
    <t>Myrcia hartwegiana</t>
  </si>
  <si>
    <t>Myrcia laruotteana</t>
  </si>
  <si>
    <t>Myrcia multiflora</t>
  </si>
  <si>
    <t>Myrcia pulchra</t>
  </si>
  <si>
    <t>Myrcia retorta</t>
  </si>
  <si>
    <t>Myrcia rostrata</t>
  </si>
  <si>
    <t>Myrcia splendens</t>
  </si>
  <si>
    <t>Myrcia subcordata</t>
  </si>
  <si>
    <t>Myrcia tenuivenosa</t>
  </si>
  <si>
    <t>Myrcia tomentosa</t>
  </si>
  <si>
    <t>Myrcia venulosa</t>
  </si>
  <si>
    <t>Myrciaria rivularis</t>
  </si>
  <si>
    <t>Myrciaria tenella</t>
  </si>
  <si>
    <t>Neomitranthes pedicellata</t>
  </si>
  <si>
    <t>Neomitranthes sp</t>
  </si>
  <si>
    <t>Pimenta pseudocaryophyllus</t>
  </si>
  <si>
    <t>Plinia cauliflora</t>
  </si>
  <si>
    <t>Plinia rivularis</t>
  </si>
  <si>
    <t>Psidium sp.</t>
  </si>
  <si>
    <t>Psidum sp.1</t>
  </si>
  <si>
    <t>Siphoneugena crassifolia</t>
  </si>
  <si>
    <t>Siphoneugena densiflora</t>
  </si>
  <si>
    <t>Siphoneugena reitzii</t>
  </si>
  <si>
    <t>Guapira opposita</t>
  </si>
  <si>
    <t>Tetrastylidium grandifolium</t>
  </si>
  <si>
    <t>Chionanthus filiformis</t>
  </si>
  <si>
    <t>Agonandra brasiliensis</t>
  </si>
  <si>
    <t>Ternstroemia brasiliensis</t>
  </si>
  <si>
    <t>Pera glabrata</t>
  </si>
  <si>
    <t>Seguieria langsdorffii</t>
  </si>
  <si>
    <t>Picramnia glazioviana</t>
  </si>
  <si>
    <t>Picramnia parvifolia</t>
  </si>
  <si>
    <t>Picramnia sellowii</t>
  </si>
  <si>
    <t>Picramnia sp</t>
  </si>
  <si>
    <t>Picramnia sp.2</t>
  </si>
  <si>
    <t>Podocarpus lambertii</t>
  </si>
  <si>
    <t>Coccoloba warmingii</t>
  </si>
  <si>
    <t>Myrsine coriacea</t>
  </si>
  <si>
    <t>Myrsine gardneriana</t>
  </si>
  <si>
    <t>Myrsine lancifolia</t>
  </si>
  <si>
    <t>Myrsine umbellata</t>
  </si>
  <si>
    <t>Rapanea loefgrenii</t>
  </si>
  <si>
    <t>Rapanea umbellata</t>
  </si>
  <si>
    <t>Roupala brasiliensis</t>
  </si>
  <si>
    <t>Roupala montana</t>
  </si>
  <si>
    <t>Colubrina glandulosa</t>
  </si>
  <si>
    <t>Rhamnidium elaeocarpum</t>
  </si>
  <si>
    <t>Rhamnus sphaerosperma</t>
  </si>
  <si>
    <t>Prunus myrtifolia</t>
  </si>
  <si>
    <t>Alibertia concolor</t>
  </si>
  <si>
    <t>Alibertia myrciifolia</t>
  </si>
  <si>
    <t>Amaioua intermedia</t>
  </si>
  <si>
    <t>Chomelia obtusa</t>
  </si>
  <si>
    <t>Cordiera myricifolia</t>
  </si>
  <si>
    <t>Coutarea hexandra</t>
  </si>
  <si>
    <t>Faramea montevidensis</t>
  </si>
  <si>
    <t>Faramea sp.</t>
  </si>
  <si>
    <t>Ixora venulosa</t>
  </si>
  <si>
    <t>Psychotria longipes</t>
  </si>
  <si>
    <t>Psychotria suterella</t>
  </si>
  <si>
    <t>Psychotria vellosiana</t>
  </si>
  <si>
    <t>Rudgea gardenoides</t>
  </si>
  <si>
    <t>Rudgea jasminoides</t>
  </si>
  <si>
    <t>Rudgea triflora</t>
  </si>
  <si>
    <t>Helietta apiculata</t>
  </si>
  <si>
    <t>Pilocarpus pennatifolius</t>
  </si>
  <si>
    <t>Zanthoxylum caribaeum</t>
  </si>
  <si>
    <t>Zanthoxylum fagara</t>
  </si>
  <si>
    <t>Zanthoxylum monogynum</t>
  </si>
  <si>
    <t>Zanthoxylum rhoifolium</t>
  </si>
  <si>
    <t>Meliosma sp.</t>
  </si>
  <si>
    <t>Casearia decandra</t>
  </si>
  <si>
    <t>Casearia gossypiosperma</t>
  </si>
  <si>
    <t>Casearia lasiophylla</t>
  </si>
  <si>
    <t>Casearia obliqua</t>
  </si>
  <si>
    <t>Casearia sylvestris</t>
  </si>
  <si>
    <t>Prockia crucis</t>
  </si>
  <si>
    <t>Xylosma ciliatifolia</t>
  </si>
  <si>
    <t>Xylosma tweediana</t>
  </si>
  <si>
    <t>Allophylus edulis</t>
  </si>
  <si>
    <t>Cupania oblongifolia</t>
  </si>
  <si>
    <t>Cupania tenuivalvis</t>
  </si>
  <si>
    <t>Cupania vernalis</t>
  </si>
  <si>
    <t>Diatenopteryx sorbifolia</t>
  </si>
  <si>
    <t>Matayba elaeagnoides</t>
  </si>
  <si>
    <t>Chrysophyllum gonocarpum</t>
  </si>
  <si>
    <t>Chrysophyllum marginatum</t>
  </si>
  <si>
    <t>Pouteria gardneri</t>
  </si>
  <si>
    <t>Pouteria gardneriana</t>
  </si>
  <si>
    <t>Picrasma crenata</t>
  </si>
  <si>
    <t>Cestrum intermedium</t>
  </si>
  <si>
    <t>Solanum (=231)</t>
  </si>
  <si>
    <t>Solanum argentum</t>
  </si>
  <si>
    <t>Solanum bullatum</t>
  </si>
  <si>
    <t>Solanum concinnum</t>
  </si>
  <si>
    <t>Solanum mauritianum</t>
  </si>
  <si>
    <t>Solanum pseudoquina</t>
  </si>
  <si>
    <t>Solanum rufescens</t>
  </si>
  <si>
    <t>Solanum sanctae-catharinae</t>
  </si>
  <si>
    <t>Solanum swartzianum</t>
  </si>
  <si>
    <t>Styrax camporum</t>
  </si>
  <si>
    <t>Styrax leprosus</t>
  </si>
  <si>
    <t>Styrax pohlii</t>
  </si>
  <si>
    <t>Symplocos celastrinea</t>
  </si>
  <si>
    <t>Symplocos estrellensis</t>
  </si>
  <si>
    <t>Symplocos falcata</t>
  </si>
  <si>
    <t>Symplocos insignis</t>
  </si>
  <si>
    <t>Symplocos pubescens</t>
  </si>
  <si>
    <t>Symplocos revoluta</t>
  </si>
  <si>
    <t>Symplocos variabilis</t>
  </si>
  <si>
    <t>Daphnopsis sellowiana</t>
  </si>
  <si>
    <t>Cecropia glaziovii</t>
  </si>
  <si>
    <t>Cecropia pachystachya</t>
  </si>
  <si>
    <t>Callisthene fasciculata</t>
  </si>
  <si>
    <t>Vochysia bifalcata</t>
  </si>
  <si>
    <t>Vochysia magnifica</t>
  </si>
  <si>
    <t>Vochysia saldanhana</t>
  </si>
  <si>
    <t>Drimys brasiliensis</t>
  </si>
  <si>
    <t>Jacaranda sp.</t>
  </si>
  <si>
    <t>Erythroxyllum sp.</t>
  </si>
  <si>
    <t>Eugenia sp.3</t>
  </si>
  <si>
    <t>Eugenia sp.4</t>
  </si>
  <si>
    <t>Schinus terebinthifolius</t>
  </si>
  <si>
    <t xml:space="preserve">Species </t>
  </si>
  <si>
    <t>Phyto. Ori.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</si>
</sst>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7414-21AE-453A-B4E3-F418C40EFB36}">
  <dimension ref="A1:Q406"/>
  <sheetViews>
    <sheetView tabSelected="1" zoomScaleNormal="100" workbookViewId="0">
      <pane ySplit="2" topLeftCell="A381" activePane="bottomLeft" state="frozen"/>
      <selection activeCell="E1" sqref="E1"/>
      <selection pane="bottomLeft" activeCell="R388" sqref="R388"/>
    </sheetView>
  </sheetViews>
  <sheetFormatPr defaultRowHeight="14.4" x14ac:dyDescent="0.3"/>
  <cols>
    <col min="1" max="1" width="17.6640625" style="1" bestFit="1" customWidth="1"/>
    <col min="2" max="2" width="29.109375" style="1" bestFit="1" customWidth="1"/>
    <col min="3" max="3" width="19.109375" style="1" customWidth="1"/>
    <col min="4" max="8" width="9.109375" bestFit="1" customWidth="1"/>
    <col min="9" max="9" width="9.109375" customWidth="1"/>
    <col min="10" max="10" width="9.109375" bestFit="1" customWidth="1"/>
  </cols>
  <sheetData>
    <row r="1" spans="1:17" x14ac:dyDescent="0.3">
      <c r="A1" s="7" t="s">
        <v>72</v>
      </c>
      <c r="B1" s="7" t="s">
        <v>415</v>
      </c>
      <c r="C1" s="9" t="s">
        <v>416</v>
      </c>
      <c r="D1" s="11" t="s">
        <v>73</v>
      </c>
      <c r="E1" s="11"/>
      <c r="F1" s="11"/>
      <c r="G1" s="11"/>
      <c r="H1" s="11"/>
      <c r="I1" s="11"/>
      <c r="J1" s="11"/>
      <c r="K1" s="11" t="s">
        <v>65</v>
      </c>
      <c r="L1" s="11"/>
      <c r="M1" s="11"/>
      <c r="N1" s="11"/>
      <c r="O1" s="11"/>
      <c r="P1" s="11"/>
      <c r="Q1" s="11"/>
    </row>
    <row r="2" spans="1:17" x14ac:dyDescent="0.3">
      <c r="A2" s="8"/>
      <c r="B2" s="8"/>
      <c r="C2" s="10"/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71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71</v>
      </c>
    </row>
    <row r="3" spans="1:17" x14ac:dyDescent="0.3">
      <c r="A3" s="1" t="s">
        <v>0</v>
      </c>
      <c r="B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B4" s="5" t="s">
        <v>77</v>
      </c>
      <c r="C4" s="1" t="s">
        <v>1</v>
      </c>
      <c r="D4" s="1"/>
      <c r="E4" s="2">
        <v>0.61289067743550596</v>
      </c>
      <c r="F4" s="1"/>
      <c r="G4" s="1"/>
      <c r="H4" s="1"/>
      <c r="I4" s="1"/>
      <c r="J4" s="1"/>
      <c r="K4" s="1"/>
      <c r="L4" s="1">
        <v>7</v>
      </c>
      <c r="M4" s="1"/>
      <c r="N4" s="1"/>
      <c r="O4" s="1"/>
      <c r="P4" s="1"/>
      <c r="Q4" s="1"/>
    </row>
    <row r="5" spans="1:17" x14ac:dyDescent="0.3">
      <c r="B5" s="5" t="s">
        <v>74</v>
      </c>
      <c r="C5" s="1" t="s">
        <v>1</v>
      </c>
      <c r="D5" s="1"/>
      <c r="E5" s="2">
        <v>1.4469220502351501</v>
      </c>
      <c r="F5" s="1"/>
      <c r="G5" s="1"/>
      <c r="H5" s="1"/>
      <c r="I5" s="1"/>
      <c r="J5" s="1"/>
      <c r="K5" s="1"/>
      <c r="L5" s="1">
        <v>3</v>
      </c>
      <c r="M5" s="1"/>
      <c r="N5" s="1"/>
      <c r="O5" s="1"/>
      <c r="P5" s="1"/>
      <c r="Q5" s="1"/>
    </row>
    <row r="6" spans="1:17" x14ac:dyDescent="0.3">
      <c r="B6" s="5" t="s">
        <v>414</v>
      </c>
      <c r="C6" s="1" t="s">
        <v>1</v>
      </c>
      <c r="D6" s="2">
        <v>1.1215975720457501</v>
      </c>
      <c r="E6" s="1"/>
      <c r="F6" s="1"/>
      <c r="G6" s="1"/>
      <c r="H6" s="1"/>
      <c r="I6" s="1"/>
      <c r="J6" s="1"/>
      <c r="K6" s="1">
        <v>8</v>
      </c>
      <c r="L6" s="1"/>
      <c r="M6" s="1"/>
      <c r="N6" s="1"/>
      <c r="O6" s="1"/>
      <c r="P6" s="1"/>
      <c r="Q6" s="1"/>
    </row>
    <row r="7" spans="1:17" x14ac:dyDescent="0.3">
      <c r="B7" s="5" t="s">
        <v>75</v>
      </c>
      <c r="C7" s="1" t="s">
        <v>1</v>
      </c>
      <c r="D7" s="1"/>
      <c r="E7" s="2">
        <v>0.30782181005286002</v>
      </c>
      <c r="F7" s="1"/>
      <c r="G7" s="1"/>
      <c r="H7" s="1"/>
      <c r="I7" s="1"/>
      <c r="J7" s="1"/>
      <c r="K7" s="1"/>
      <c r="L7" s="1">
        <v>5</v>
      </c>
      <c r="M7" s="1"/>
      <c r="N7" s="1"/>
      <c r="O7" s="1"/>
      <c r="P7" s="1"/>
      <c r="Q7" s="1"/>
    </row>
    <row r="8" spans="1:17" x14ac:dyDescent="0.3">
      <c r="A8" s="1" t="s">
        <v>2</v>
      </c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B9" s="5" t="s">
        <v>76</v>
      </c>
      <c r="C9" s="1" t="s">
        <v>1</v>
      </c>
      <c r="D9" s="1"/>
      <c r="E9" s="1"/>
      <c r="F9" s="1"/>
      <c r="G9" s="2">
        <v>6.4121715924541897E-2</v>
      </c>
      <c r="H9" s="1"/>
      <c r="I9" s="1"/>
      <c r="J9" s="1"/>
      <c r="K9" s="1"/>
      <c r="L9" s="1"/>
      <c r="M9" s="1"/>
      <c r="N9" s="1">
        <v>3</v>
      </c>
      <c r="O9" s="1"/>
      <c r="P9" s="1"/>
      <c r="Q9" s="1"/>
    </row>
    <row r="10" spans="1:17" x14ac:dyDescent="0.3">
      <c r="B10" s="5" t="s">
        <v>78</v>
      </c>
      <c r="C10" s="1" t="s">
        <v>1</v>
      </c>
      <c r="D10" s="1"/>
      <c r="E10" s="1"/>
      <c r="F10" s="1"/>
      <c r="G10" s="1"/>
      <c r="H10" s="2">
        <v>0.22948618630253301</v>
      </c>
      <c r="I10" s="2"/>
      <c r="J10" s="1"/>
      <c r="K10" s="1"/>
      <c r="L10" s="1"/>
      <c r="M10" s="1"/>
      <c r="N10" s="1"/>
      <c r="O10" s="1">
        <v>8</v>
      </c>
      <c r="P10" s="1"/>
      <c r="Q10" s="1"/>
    </row>
    <row r="11" spans="1:17" x14ac:dyDescent="0.3">
      <c r="B11" s="5" t="s">
        <v>79</v>
      </c>
      <c r="C11" s="1" t="s">
        <v>1</v>
      </c>
      <c r="D11" s="1"/>
      <c r="E11" s="1"/>
      <c r="F11" s="2">
        <v>3.1046622449556298</v>
      </c>
      <c r="G11" s="1"/>
      <c r="H11" s="1"/>
      <c r="I11" s="2">
        <f>J11/0.5</f>
        <v>1.0221958538643861</v>
      </c>
      <c r="J11" s="2">
        <v>0.51109792693219303</v>
      </c>
      <c r="K11" s="1"/>
      <c r="L11" s="1"/>
      <c r="M11" s="1">
        <v>78</v>
      </c>
      <c r="N11" s="1"/>
      <c r="O11" s="1"/>
      <c r="P11" s="1">
        <f>Q11/0.5</f>
        <v>50</v>
      </c>
      <c r="Q11" s="1">
        <v>25</v>
      </c>
    </row>
    <row r="12" spans="1:17" x14ac:dyDescent="0.3">
      <c r="B12" s="5" t="s">
        <v>80</v>
      </c>
      <c r="C12" s="1" t="s">
        <v>1</v>
      </c>
      <c r="D12" s="1"/>
      <c r="E12" s="1"/>
      <c r="F12" s="1"/>
      <c r="G12" s="1"/>
      <c r="H12" s="2">
        <v>3.0685211939050501E-2</v>
      </c>
      <c r="I12" s="2"/>
      <c r="J12" s="1"/>
      <c r="K12" s="1"/>
      <c r="L12" s="1"/>
      <c r="M12" s="1"/>
      <c r="N12" s="1"/>
      <c r="O12" s="1">
        <v>1</v>
      </c>
      <c r="P12" s="1"/>
      <c r="Q12" s="1"/>
    </row>
    <row r="13" spans="1:17" x14ac:dyDescent="0.3">
      <c r="B13" s="5" t="s">
        <v>81</v>
      </c>
      <c r="C13" s="1" t="s">
        <v>1</v>
      </c>
      <c r="D13" s="1"/>
      <c r="E13" s="2">
        <v>7.29470164386756</v>
      </c>
      <c r="F13" s="1"/>
      <c r="G13" s="1"/>
      <c r="H13" s="2">
        <v>0.11343901358783599</v>
      </c>
      <c r="I13" s="2"/>
      <c r="J13" s="1"/>
      <c r="K13" s="1"/>
      <c r="L13" s="1">
        <v>28</v>
      </c>
      <c r="M13" s="1"/>
      <c r="N13" s="1"/>
      <c r="O13" s="1">
        <v>1</v>
      </c>
      <c r="P13" s="1"/>
      <c r="Q13" s="1"/>
    </row>
    <row r="14" spans="1:17" x14ac:dyDescent="0.3">
      <c r="B14" s="5" t="s">
        <v>82</v>
      </c>
      <c r="C14" s="1" t="s">
        <v>1</v>
      </c>
      <c r="D14" s="1"/>
      <c r="E14" s="2">
        <v>0.79694795296697296</v>
      </c>
      <c r="F14" s="1"/>
      <c r="G14" s="2">
        <v>0.63441636994142803</v>
      </c>
      <c r="H14" s="2">
        <v>0.204684011855569</v>
      </c>
      <c r="I14" s="2"/>
      <c r="J14" s="1"/>
      <c r="K14" s="1"/>
      <c r="L14" s="1">
        <v>12</v>
      </c>
      <c r="M14" s="1"/>
      <c r="N14" s="1">
        <v>6</v>
      </c>
      <c r="O14" s="1">
        <v>5</v>
      </c>
      <c r="P14" s="1"/>
      <c r="Q14" s="1"/>
    </row>
    <row r="15" spans="1:17" x14ac:dyDescent="0.3">
      <c r="B15" s="5" t="s">
        <v>83</v>
      </c>
      <c r="C15" s="1" t="s">
        <v>1</v>
      </c>
      <c r="D15" s="2">
        <v>3.5787653359990901E-2</v>
      </c>
      <c r="E15" s="1"/>
      <c r="F15" s="1"/>
      <c r="G15" s="1"/>
      <c r="H15" s="1"/>
      <c r="I15" s="1"/>
      <c r="J15" s="1"/>
      <c r="K15" s="1">
        <v>4</v>
      </c>
      <c r="L15" s="1"/>
      <c r="M15" s="1"/>
      <c r="N15" s="1"/>
      <c r="O15" s="1"/>
      <c r="P15" s="1"/>
      <c r="Q15" s="1"/>
    </row>
    <row r="16" spans="1:17" x14ac:dyDescent="0.3">
      <c r="B16" s="5" t="s">
        <v>84</v>
      </c>
      <c r="C16" s="1" t="s">
        <v>1</v>
      </c>
      <c r="D16" s="2">
        <v>0.34446117776496399</v>
      </c>
      <c r="E16" s="1"/>
      <c r="F16" s="1"/>
      <c r="G16" s="1"/>
      <c r="H16" s="1"/>
      <c r="I16" s="1"/>
      <c r="J16" s="1"/>
      <c r="K16" s="1">
        <v>24</v>
      </c>
      <c r="L16" s="1"/>
      <c r="M16" s="1"/>
      <c r="N16" s="1"/>
      <c r="O16" s="1"/>
      <c r="P16" s="1"/>
      <c r="Q16" s="1"/>
    </row>
    <row r="17" spans="1:17" x14ac:dyDescent="0.3">
      <c r="B17" s="5" t="s">
        <v>85</v>
      </c>
      <c r="C17" s="1" t="s">
        <v>1</v>
      </c>
      <c r="D17" s="1"/>
      <c r="E17" s="2">
        <v>0.76123770316945005</v>
      </c>
      <c r="F17" s="1"/>
      <c r="G17" s="1"/>
      <c r="H17" s="1"/>
      <c r="I17" s="1"/>
      <c r="J17" s="1"/>
      <c r="K17" s="1"/>
      <c r="L17" s="1">
        <v>1</v>
      </c>
      <c r="M17" s="1"/>
      <c r="N17" s="1"/>
      <c r="O17" s="1"/>
      <c r="P17" s="1"/>
      <c r="Q17" s="1"/>
    </row>
    <row r="18" spans="1:17" x14ac:dyDescent="0.3">
      <c r="B18" s="5" t="s">
        <v>86</v>
      </c>
      <c r="C18" s="1" t="s">
        <v>1</v>
      </c>
      <c r="D18" s="2">
        <v>0.499607890432746</v>
      </c>
      <c r="E18" s="1"/>
      <c r="F18" s="1"/>
      <c r="G18" s="1"/>
      <c r="H18" s="1"/>
      <c r="I18" s="1"/>
      <c r="J18" s="1"/>
      <c r="K18" s="1">
        <v>8</v>
      </c>
      <c r="L18" s="1"/>
      <c r="M18" s="1"/>
      <c r="N18" s="1"/>
      <c r="O18" s="1"/>
      <c r="P18" s="1"/>
      <c r="Q18" s="1"/>
    </row>
    <row r="19" spans="1:17" x14ac:dyDescent="0.3">
      <c r="B19" s="5" t="s">
        <v>87</v>
      </c>
      <c r="C19" s="1" t="s">
        <v>1</v>
      </c>
      <c r="D19" s="1"/>
      <c r="E19" s="2">
        <v>4.7375778468071998E-2</v>
      </c>
      <c r="F19" s="1"/>
      <c r="G19" s="1"/>
      <c r="H19" s="1"/>
      <c r="I19" s="1"/>
      <c r="J19" s="1"/>
      <c r="K19" s="1"/>
      <c r="L19" s="1">
        <v>1</v>
      </c>
      <c r="M19" s="1"/>
      <c r="N19" s="1"/>
      <c r="O19" s="1"/>
      <c r="P19" s="1"/>
      <c r="Q19" s="1"/>
    </row>
    <row r="20" spans="1:17" x14ac:dyDescent="0.3">
      <c r="B20" s="5" t="s">
        <v>88</v>
      </c>
      <c r="C20" s="1" t="s">
        <v>1</v>
      </c>
      <c r="D20" s="2">
        <v>2.2559677654935498E-2</v>
      </c>
      <c r="E20" s="1"/>
      <c r="F20" s="1"/>
      <c r="G20" s="1"/>
      <c r="H20" s="1"/>
      <c r="I20" s="1"/>
      <c r="J20" s="1"/>
      <c r="K20" s="1">
        <v>1</v>
      </c>
      <c r="L20" s="1"/>
      <c r="M20" s="1"/>
      <c r="N20" s="1"/>
      <c r="O20" s="1"/>
      <c r="P20" s="1"/>
      <c r="Q20" s="1"/>
    </row>
    <row r="21" spans="1:17" x14ac:dyDescent="0.3">
      <c r="A21" s="1" t="s">
        <v>3</v>
      </c>
      <c r="B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B22" s="5" t="s">
        <v>89</v>
      </c>
      <c r="C22" s="1" t="s">
        <v>1</v>
      </c>
      <c r="D22" s="1"/>
      <c r="E22" s="1"/>
      <c r="F22" s="1"/>
      <c r="G22" s="1"/>
      <c r="H22" s="2">
        <v>9.0264173417939894E-2</v>
      </c>
      <c r="I22" s="2"/>
      <c r="J22" s="1"/>
      <c r="K22" s="1"/>
      <c r="L22" s="1"/>
      <c r="M22" s="1"/>
      <c r="N22" s="1"/>
      <c r="O22" s="1">
        <v>2</v>
      </c>
      <c r="P22" s="1"/>
      <c r="Q22" s="1"/>
    </row>
    <row r="23" spans="1:17" x14ac:dyDescent="0.3">
      <c r="B23" s="5" t="s">
        <v>90</v>
      </c>
      <c r="C23" s="1" t="s">
        <v>1</v>
      </c>
      <c r="D23" s="1"/>
      <c r="E23" s="2">
        <v>6.1811263488440602</v>
      </c>
      <c r="F23" s="1"/>
      <c r="G23" s="1"/>
      <c r="H23" s="1"/>
      <c r="I23" s="1"/>
      <c r="J23" s="1"/>
      <c r="K23" s="1"/>
      <c r="L23" s="1">
        <v>19</v>
      </c>
      <c r="M23" s="1"/>
      <c r="N23" s="1"/>
      <c r="O23" s="1"/>
      <c r="P23" s="1"/>
      <c r="Q23" s="1"/>
    </row>
    <row r="24" spans="1:17" x14ac:dyDescent="0.3">
      <c r="B24" s="5" t="s">
        <v>91</v>
      </c>
      <c r="C24" s="1" t="s">
        <v>1</v>
      </c>
      <c r="D24" s="2">
        <v>1.79642738833403</v>
      </c>
      <c r="E24" s="2">
        <v>4.2801214739136997</v>
      </c>
      <c r="F24" s="1"/>
      <c r="G24" s="1"/>
      <c r="H24" s="1"/>
      <c r="I24" s="1"/>
      <c r="J24" s="1"/>
      <c r="K24" s="1">
        <v>25</v>
      </c>
      <c r="L24" s="1">
        <v>7</v>
      </c>
      <c r="M24" s="1"/>
      <c r="N24" s="1"/>
      <c r="O24" s="1"/>
      <c r="P24" s="1"/>
      <c r="Q24" s="1"/>
    </row>
    <row r="25" spans="1:17" x14ac:dyDescent="0.3">
      <c r="B25" s="5" t="s">
        <v>92</v>
      </c>
      <c r="C25" s="1" t="s">
        <v>1</v>
      </c>
      <c r="D25" s="1"/>
      <c r="E25" s="2">
        <v>4.24878454730599E-2</v>
      </c>
      <c r="F25" s="1"/>
      <c r="G25" s="1"/>
      <c r="H25" s="1"/>
      <c r="I25" s="1"/>
      <c r="J25" s="1"/>
      <c r="K25" s="1"/>
      <c r="L25" s="1">
        <v>1</v>
      </c>
      <c r="M25" s="1"/>
      <c r="N25" s="1"/>
      <c r="O25" s="1"/>
      <c r="P25" s="1"/>
      <c r="Q25" s="1"/>
    </row>
    <row r="26" spans="1:17" x14ac:dyDescent="0.3">
      <c r="A26" s="1" t="s">
        <v>4</v>
      </c>
      <c r="B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B27" s="5" t="s">
        <v>93</v>
      </c>
      <c r="C27" s="1" t="s">
        <v>5</v>
      </c>
      <c r="D27" s="1"/>
      <c r="E27" s="1"/>
      <c r="F27" s="2">
        <v>3.5980506870650499E-2</v>
      </c>
      <c r="G27" s="1"/>
      <c r="H27" s="1"/>
      <c r="I27" s="1"/>
      <c r="J27" s="1"/>
      <c r="K27" s="1"/>
      <c r="L27" s="1"/>
      <c r="M27" s="1">
        <v>1</v>
      </c>
      <c r="N27" s="1"/>
      <c r="O27" s="1"/>
      <c r="P27" s="1"/>
      <c r="Q27" s="1"/>
    </row>
    <row r="28" spans="1:17" x14ac:dyDescent="0.3">
      <c r="B28" s="5" t="s">
        <v>94</v>
      </c>
      <c r="C28" s="1" t="s">
        <v>5</v>
      </c>
      <c r="D28" s="1"/>
      <c r="E28" s="1"/>
      <c r="F28" s="2">
        <v>6.8554290841408502E-3</v>
      </c>
      <c r="G28" s="1"/>
      <c r="H28" s="1"/>
      <c r="I28" s="1"/>
      <c r="J28" s="1"/>
      <c r="K28" s="1"/>
      <c r="L28" s="1"/>
      <c r="M28" s="1">
        <v>1</v>
      </c>
      <c r="N28" s="1"/>
      <c r="O28" s="1"/>
      <c r="P28" s="1"/>
      <c r="Q28" s="1"/>
    </row>
    <row r="29" spans="1:17" x14ac:dyDescent="0.3">
      <c r="B29" s="5" t="s">
        <v>95</v>
      </c>
      <c r="C29" s="1" t="s">
        <v>5</v>
      </c>
      <c r="D29" s="2">
        <v>0.15089605755129001</v>
      </c>
      <c r="E29" s="1"/>
      <c r="F29" s="1"/>
      <c r="G29" s="1"/>
      <c r="H29" s="1"/>
      <c r="I29" s="1"/>
      <c r="J29" s="1"/>
      <c r="K29" s="1">
        <v>1</v>
      </c>
      <c r="L29" s="1"/>
      <c r="M29" s="1"/>
      <c r="N29" s="1"/>
      <c r="O29" s="1"/>
      <c r="P29" s="1"/>
      <c r="Q29" s="1"/>
    </row>
    <row r="30" spans="1:17" x14ac:dyDescent="0.3">
      <c r="B30" s="5" t="s">
        <v>96</v>
      </c>
      <c r="C30" s="1" t="s">
        <v>5</v>
      </c>
      <c r="D30" s="1"/>
      <c r="E30" s="1"/>
      <c r="F30" s="1"/>
      <c r="G30" s="1"/>
      <c r="H30" s="1"/>
      <c r="I30" s="2">
        <f>J30/0.5</f>
        <v>0.87379065795934396</v>
      </c>
      <c r="J30" s="2">
        <v>0.43689532897967198</v>
      </c>
      <c r="K30" s="1"/>
      <c r="L30" s="1"/>
      <c r="M30" s="1"/>
      <c r="N30" s="1"/>
      <c r="O30" s="1"/>
      <c r="P30" s="1">
        <f>Q30/0.5</f>
        <v>32</v>
      </c>
      <c r="Q30" s="1">
        <v>16</v>
      </c>
    </row>
    <row r="31" spans="1:17" x14ac:dyDescent="0.3">
      <c r="B31" s="5" t="s">
        <v>97</v>
      </c>
      <c r="C31" s="1" t="s">
        <v>5</v>
      </c>
      <c r="D31" s="1"/>
      <c r="E31" s="1"/>
      <c r="F31" s="1"/>
      <c r="G31" s="2">
        <v>2.68450502245157E-2</v>
      </c>
      <c r="H31" s="2">
        <v>2.05987188008349E-2</v>
      </c>
      <c r="I31" s="2"/>
      <c r="J31" s="1"/>
      <c r="K31" s="1"/>
      <c r="L31" s="1"/>
      <c r="M31" s="1"/>
      <c r="N31" s="1">
        <v>2</v>
      </c>
      <c r="O31" s="1">
        <v>2</v>
      </c>
      <c r="P31" s="1"/>
      <c r="Q31" s="1"/>
    </row>
    <row r="32" spans="1:17" x14ac:dyDescent="0.3">
      <c r="B32" s="5" t="s">
        <v>98</v>
      </c>
      <c r="C32" s="1" t="s">
        <v>5</v>
      </c>
      <c r="D32" s="1"/>
      <c r="E32" s="1"/>
      <c r="F32" s="2">
        <v>2.0057911663638199</v>
      </c>
      <c r="G32" s="2">
        <v>1.42184795948972</v>
      </c>
      <c r="H32" s="1"/>
      <c r="I32" s="1"/>
      <c r="J32" s="1"/>
      <c r="K32" s="1"/>
      <c r="L32" s="1"/>
      <c r="M32" s="1">
        <v>29</v>
      </c>
      <c r="N32" s="1">
        <v>15</v>
      </c>
      <c r="O32" s="1"/>
      <c r="P32" s="1"/>
      <c r="Q32" s="1"/>
    </row>
    <row r="33" spans="1:17" x14ac:dyDescent="0.3">
      <c r="B33" s="5" t="s">
        <v>99</v>
      </c>
      <c r="C33" s="1" t="s">
        <v>5</v>
      </c>
      <c r="D33" s="1"/>
      <c r="E33" s="2">
        <v>0.14753248704670999</v>
      </c>
      <c r="F33" s="1"/>
      <c r="G33" s="2">
        <v>7.8005380701244006E-2</v>
      </c>
      <c r="H33" s="2">
        <v>1.7523979619285699</v>
      </c>
      <c r="I33" s="2"/>
      <c r="J33" s="1"/>
      <c r="K33" s="1"/>
      <c r="L33" s="1">
        <v>5</v>
      </c>
      <c r="M33" s="1"/>
      <c r="N33" s="1">
        <v>6</v>
      </c>
      <c r="O33" s="1">
        <v>40</v>
      </c>
      <c r="P33" s="1"/>
      <c r="Q33" s="1"/>
    </row>
    <row r="34" spans="1:17" x14ac:dyDescent="0.3">
      <c r="B34" s="5" t="s">
        <v>100</v>
      </c>
      <c r="C34" s="1" t="s">
        <v>5</v>
      </c>
      <c r="D34" s="1"/>
      <c r="E34" s="1"/>
      <c r="F34" s="2">
        <v>0.58464424881213395</v>
      </c>
      <c r="G34" s="1"/>
      <c r="H34" s="1"/>
      <c r="I34" s="1"/>
      <c r="J34" s="1"/>
      <c r="K34" s="1"/>
      <c r="L34" s="1"/>
      <c r="M34" s="1">
        <v>10</v>
      </c>
      <c r="N34" s="1"/>
      <c r="O34" s="1"/>
      <c r="P34" s="1"/>
      <c r="Q34" s="1"/>
    </row>
    <row r="35" spans="1:17" x14ac:dyDescent="0.3">
      <c r="B35" s="5" t="s">
        <v>101</v>
      </c>
      <c r="C35" s="1" t="s">
        <v>5</v>
      </c>
      <c r="D35" s="2">
        <v>1.49549987790773</v>
      </c>
      <c r="E35" s="1"/>
      <c r="F35" s="2">
        <v>0.81346579670089603</v>
      </c>
      <c r="G35" s="2">
        <v>0.32498885535163202</v>
      </c>
      <c r="H35" s="2">
        <v>3.8034575369660901</v>
      </c>
      <c r="I35" s="2"/>
      <c r="J35" s="1"/>
      <c r="K35" s="1">
        <v>3</v>
      </c>
      <c r="L35" s="1"/>
      <c r="M35" s="1">
        <v>11</v>
      </c>
      <c r="N35" s="1">
        <v>8</v>
      </c>
      <c r="O35" s="1">
        <v>77</v>
      </c>
      <c r="P35" s="1"/>
      <c r="Q35" s="1"/>
    </row>
    <row r="36" spans="1:17" x14ac:dyDescent="0.3">
      <c r="B36" s="5" t="s">
        <v>102</v>
      </c>
      <c r="C36" s="1" t="s">
        <v>5</v>
      </c>
      <c r="D36" s="2">
        <v>0.10786985278592499</v>
      </c>
      <c r="E36" s="1"/>
      <c r="F36" s="2">
        <v>0.26456787014329403</v>
      </c>
      <c r="G36" s="2">
        <v>2.85906411900528E-2</v>
      </c>
      <c r="H36" s="2">
        <v>0.46402152312825301</v>
      </c>
      <c r="I36" s="2"/>
      <c r="J36" s="1"/>
      <c r="K36" s="1">
        <v>7</v>
      </c>
      <c r="L36" s="1"/>
      <c r="M36" s="1">
        <v>6</v>
      </c>
      <c r="N36" s="1">
        <v>3</v>
      </c>
      <c r="O36" s="1">
        <v>12</v>
      </c>
      <c r="P36" s="1"/>
      <c r="Q36" s="1"/>
    </row>
    <row r="37" spans="1:17" x14ac:dyDescent="0.3">
      <c r="A37" s="1" t="s">
        <v>6</v>
      </c>
      <c r="B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B38" s="5" t="s">
        <v>103</v>
      </c>
      <c r="C38" s="1" t="s">
        <v>1</v>
      </c>
      <c r="D38" s="1"/>
      <c r="E38" s="2">
        <v>2.0725252723526499</v>
      </c>
      <c r="F38" s="1"/>
      <c r="G38" s="1"/>
      <c r="H38" s="1"/>
      <c r="I38" s="1"/>
      <c r="J38" s="1"/>
      <c r="K38" s="1"/>
      <c r="L38" s="1">
        <v>22</v>
      </c>
      <c r="M38" s="1"/>
      <c r="N38" s="1"/>
      <c r="O38" s="1"/>
      <c r="P38" s="1"/>
      <c r="Q38" s="1"/>
    </row>
    <row r="39" spans="1:17" x14ac:dyDescent="0.3">
      <c r="B39" s="5" t="s">
        <v>104</v>
      </c>
      <c r="C39" s="1" t="s">
        <v>1</v>
      </c>
      <c r="D39" s="1"/>
      <c r="E39" s="2">
        <v>8.7595509781765293E-2</v>
      </c>
      <c r="F39" s="1"/>
      <c r="G39" s="1"/>
      <c r="H39" s="1"/>
      <c r="I39" s="1"/>
      <c r="J39" s="1"/>
      <c r="K39" s="1"/>
      <c r="L39" s="1">
        <v>1</v>
      </c>
      <c r="M39" s="1"/>
      <c r="N39" s="1"/>
      <c r="O39" s="1"/>
      <c r="P39" s="1"/>
      <c r="Q39" s="1"/>
    </row>
    <row r="40" spans="1:17" x14ac:dyDescent="0.3">
      <c r="B40" s="5" t="s">
        <v>105</v>
      </c>
      <c r="C40" s="1" t="s">
        <v>1</v>
      </c>
      <c r="D40" s="1"/>
      <c r="E40" s="2">
        <v>0.33304263830574798</v>
      </c>
      <c r="F40" s="1"/>
      <c r="G40" s="1"/>
      <c r="H40" s="2">
        <v>4.4595210090034296</v>
      </c>
      <c r="I40" s="2"/>
      <c r="J40" s="1"/>
      <c r="K40" s="1"/>
      <c r="L40" s="1">
        <v>5</v>
      </c>
      <c r="M40" s="1"/>
      <c r="N40" s="1"/>
      <c r="O40" s="1">
        <v>41</v>
      </c>
      <c r="P40" s="1"/>
      <c r="Q40" s="1"/>
    </row>
    <row r="41" spans="1:17" x14ac:dyDescent="0.3">
      <c r="A41" s="1" t="s">
        <v>7</v>
      </c>
      <c r="B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B42" s="5" t="s">
        <v>106</v>
      </c>
      <c r="C42" s="1" t="s">
        <v>5</v>
      </c>
      <c r="D42" s="2">
        <v>28.541079867008399</v>
      </c>
      <c r="E42" s="2">
        <v>12.765081343451699</v>
      </c>
      <c r="F42" s="2">
        <v>71.698256066535293</v>
      </c>
      <c r="G42" s="2">
        <v>52.059503511410597</v>
      </c>
      <c r="H42" s="2">
        <v>22.2467024081011</v>
      </c>
      <c r="I42" s="2">
        <f>J42/0.5</f>
        <v>92.066185025312606</v>
      </c>
      <c r="J42" s="2">
        <v>46.033092512656303</v>
      </c>
      <c r="K42" s="1">
        <v>109</v>
      </c>
      <c r="L42" s="1">
        <v>9</v>
      </c>
      <c r="M42" s="1">
        <v>82</v>
      </c>
      <c r="N42" s="1">
        <v>57</v>
      </c>
      <c r="O42" s="1">
        <v>37</v>
      </c>
      <c r="P42" s="1">
        <f>Q42/0.5</f>
        <v>192</v>
      </c>
      <c r="Q42" s="1">
        <v>96</v>
      </c>
    </row>
    <row r="43" spans="1:17" x14ac:dyDescent="0.3">
      <c r="A43" s="1" t="s">
        <v>8</v>
      </c>
      <c r="B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B44" s="5" t="s">
        <v>107</v>
      </c>
      <c r="C44" s="1" t="s">
        <v>1</v>
      </c>
      <c r="D44" s="1"/>
      <c r="E44" s="2">
        <v>1.3910362049603899</v>
      </c>
      <c r="F44" s="1"/>
      <c r="G44" s="1"/>
      <c r="H44" s="1"/>
      <c r="I44" s="1"/>
      <c r="J44" s="1"/>
      <c r="K44" s="1"/>
      <c r="L44" s="1">
        <v>88</v>
      </c>
      <c r="M44" s="1"/>
      <c r="N44" s="1"/>
      <c r="O44" s="1"/>
      <c r="P44" s="1"/>
      <c r="Q44" s="1"/>
    </row>
    <row r="45" spans="1:17" x14ac:dyDescent="0.3">
      <c r="B45" s="5" t="s">
        <v>108</v>
      </c>
      <c r="C45" s="1" t="s">
        <v>1</v>
      </c>
      <c r="D45" s="2">
        <v>0.36885113101963501</v>
      </c>
      <c r="E45" s="2">
        <v>7.5554841557094097</v>
      </c>
      <c r="F45" s="1"/>
      <c r="G45" s="1"/>
      <c r="H45" s="1"/>
      <c r="I45" s="1"/>
      <c r="J45" s="1"/>
      <c r="K45" s="1">
        <v>3</v>
      </c>
      <c r="L45" s="1">
        <v>54</v>
      </c>
      <c r="M45" s="1"/>
      <c r="N45" s="1"/>
      <c r="O45" s="1"/>
      <c r="P45" s="1"/>
      <c r="Q45" s="1"/>
    </row>
    <row r="46" spans="1:17" x14ac:dyDescent="0.3">
      <c r="A46" s="1" t="s">
        <v>9</v>
      </c>
      <c r="B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B47" s="5" t="s">
        <v>109</v>
      </c>
      <c r="C47" s="1" t="s">
        <v>1</v>
      </c>
      <c r="D47" s="2">
        <v>0.93330958000492803</v>
      </c>
      <c r="E47" s="2">
        <v>3.4594087930113301E-2</v>
      </c>
      <c r="F47" s="1"/>
      <c r="G47" s="1"/>
      <c r="H47" s="1"/>
      <c r="I47" s="1"/>
      <c r="J47" s="1"/>
      <c r="K47" s="1">
        <v>35</v>
      </c>
      <c r="L47" s="1">
        <v>1</v>
      </c>
      <c r="M47" s="1"/>
      <c r="N47" s="1"/>
      <c r="O47" s="1"/>
      <c r="P47" s="1"/>
      <c r="Q47" s="1"/>
    </row>
    <row r="48" spans="1:17" x14ac:dyDescent="0.3">
      <c r="A48" s="1" t="s">
        <v>10</v>
      </c>
      <c r="B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B49" s="5" t="s">
        <v>110</v>
      </c>
      <c r="C49" s="1" t="s">
        <v>1</v>
      </c>
      <c r="D49" s="1"/>
      <c r="E49" s="1"/>
      <c r="F49" s="1"/>
      <c r="G49" s="1"/>
      <c r="H49" s="2">
        <v>0.26522185677135401</v>
      </c>
      <c r="I49" s="2"/>
      <c r="J49" s="1"/>
      <c r="K49" s="1"/>
      <c r="L49" s="1"/>
      <c r="M49" s="1"/>
      <c r="N49" s="1"/>
      <c r="O49" s="1">
        <v>22</v>
      </c>
      <c r="P49" s="1"/>
      <c r="Q49" s="1"/>
    </row>
    <row r="50" spans="1:17" x14ac:dyDescent="0.3">
      <c r="B50" s="5" t="s">
        <v>111</v>
      </c>
      <c r="C50" s="1" t="s">
        <v>1</v>
      </c>
      <c r="D50" s="1"/>
      <c r="E50" s="1"/>
      <c r="F50" s="2">
        <v>0.160898556009866</v>
      </c>
      <c r="G50" s="1"/>
      <c r="H50" s="1"/>
      <c r="I50" s="2">
        <f>J50/0.5</f>
        <v>0.44349110942207398</v>
      </c>
      <c r="J50" s="2">
        <v>0.22174555471103699</v>
      </c>
      <c r="K50" s="1"/>
      <c r="L50" s="1"/>
      <c r="M50" s="1">
        <v>1</v>
      </c>
      <c r="N50" s="1"/>
      <c r="O50" s="1"/>
      <c r="P50" s="1">
        <f>Q50/0.5</f>
        <v>14</v>
      </c>
      <c r="Q50" s="1">
        <v>7</v>
      </c>
    </row>
    <row r="51" spans="1:17" x14ac:dyDescent="0.3">
      <c r="B51" s="5" t="s">
        <v>112</v>
      </c>
      <c r="C51" s="1" t="s">
        <v>1</v>
      </c>
      <c r="D51" s="1"/>
      <c r="E51" s="1"/>
      <c r="F51" s="1"/>
      <c r="G51" s="2">
        <v>1.4526111039340799E-2</v>
      </c>
      <c r="H51" s="1"/>
      <c r="I51" s="1"/>
      <c r="J51" s="1"/>
      <c r="K51" s="1"/>
      <c r="L51" s="1"/>
      <c r="M51" s="1"/>
      <c r="N51" s="1">
        <v>1</v>
      </c>
      <c r="O51" s="1"/>
      <c r="P51" s="1"/>
      <c r="Q51" s="1"/>
    </row>
    <row r="52" spans="1:17" x14ac:dyDescent="0.3">
      <c r="B52" s="5" t="s">
        <v>113</v>
      </c>
      <c r="C52" s="1" t="s">
        <v>1</v>
      </c>
      <c r="D52" s="1"/>
      <c r="E52" s="1"/>
      <c r="F52" s="1"/>
      <c r="G52" s="1"/>
      <c r="H52" s="2">
        <v>0.25146469149524697</v>
      </c>
      <c r="I52" s="2"/>
      <c r="J52" s="1"/>
      <c r="K52" s="1"/>
      <c r="L52" s="1"/>
      <c r="M52" s="1"/>
      <c r="N52" s="1"/>
      <c r="O52" s="1">
        <v>20</v>
      </c>
      <c r="P52" s="1"/>
      <c r="Q52" s="1"/>
    </row>
    <row r="53" spans="1:17" x14ac:dyDescent="0.3">
      <c r="B53" s="5" t="s">
        <v>114</v>
      </c>
      <c r="C53" s="1" t="s">
        <v>1</v>
      </c>
      <c r="D53" s="2">
        <v>2.0766533702560301</v>
      </c>
      <c r="E53" s="2">
        <v>6.1820262931082497E-3</v>
      </c>
      <c r="F53" s="2">
        <v>8.0907165666375693</v>
      </c>
      <c r="G53" s="1"/>
      <c r="H53" s="1"/>
      <c r="I53" s="1"/>
      <c r="J53" s="1"/>
      <c r="K53" s="1">
        <v>3</v>
      </c>
      <c r="L53" s="1">
        <v>1</v>
      </c>
      <c r="M53" s="1">
        <v>9</v>
      </c>
      <c r="N53" s="1"/>
      <c r="O53" s="1"/>
      <c r="P53" s="1"/>
      <c r="Q53" s="1"/>
    </row>
    <row r="54" spans="1:17" x14ac:dyDescent="0.3">
      <c r="B54" s="5" t="s">
        <v>115</v>
      </c>
      <c r="C54" s="1" t="s">
        <v>1</v>
      </c>
      <c r="D54" s="1"/>
      <c r="E54" s="1"/>
      <c r="F54" s="1"/>
      <c r="G54" s="1"/>
      <c r="H54" s="2">
        <v>1.42205923807793</v>
      </c>
      <c r="I54" s="2"/>
      <c r="J54" s="1"/>
      <c r="K54" s="1"/>
      <c r="L54" s="1"/>
      <c r="M54" s="1"/>
      <c r="N54" s="1"/>
      <c r="O54" s="1">
        <v>7</v>
      </c>
      <c r="P54" s="1"/>
      <c r="Q54" s="1"/>
    </row>
    <row r="55" spans="1:17" x14ac:dyDescent="0.3">
      <c r="B55" s="5" t="s">
        <v>116</v>
      </c>
      <c r="C55" s="1" t="s">
        <v>1</v>
      </c>
      <c r="D55" s="1"/>
      <c r="E55" s="1"/>
      <c r="F55" s="1"/>
      <c r="G55" s="1"/>
      <c r="H55" s="1"/>
      <c r="I55" s="2">
        <f t="shared" ref="I55:I56" si="0">J55/0.5</f>
        <v>3.1730096907615</v>
      </c>
      <c r="J55" s="2">
        <v>1.58650484538075</v>
      </c>
      <c r="K55" s="1"/>
      <c r="L55" s="1"/>
      <c r="M55" s="1"/>
      <c r="N55" s="1"/>
      <c r="O55" s="1"/>
      <c r="P55" s="1">
        <f t="shared" ref="P55:P56" si="1">Q55/0.5</f>
        <v>16</v>
      </c>
      <c r="Q55" s="1">
        <v>8</v>
      </c>
    </row>
    <row r="56" spans="1:17" x14ac:dyDescent="0.3">
      <c r="B56" s="5" t="s">
        <v>117</v>
      </c>
      <c r="C56" s="1" t="s">
        <v>1</v>
      </c>
      <c r="D56" s="2">
        <v>0.30507959569662102</v>
      </c>
      <c r="E56" s="1"/>
      <c r="F56" s="2">
        <v>3.0168956520136199</v>
      </c>
      <c r="G56" s="2">
        <v>10.4711301951731</v>
      </c>
      <c r="H56" s="2">
        <v>4.1990075612426301</v>
      </c>
      <c r="I56" s="2">
        <f t="shared" si="0"/>
        <v>8.7807521049125405</v>
      </c>
      <c r="J56" s="2">
        <v>4.3903760524562703</v>
      </c>
      <c r="K56" s="1">
        <v>1</v>
      </c>
      <c r="L56" s="1"/>
      <c r="M56" s="1">
        <v>23</v>
      </c>
      <c r="N56" s="1">
        <v>20</v>
      </c>
      <c r="O56" s="1">
        <v>35</v>
      </c>
      <c r="P56" s="1">
        <f t="shared" si="1"/>
        <v>78</v>
      </c>
      <c r="Q56" s="1">
        <v>39</v>
      </c>
    </row>
    <row r="57" spans="1:17" x14ac:dyDescent="0.3">
      <c r="B57" s="5" t="s">
        <v>118</v>
      </c>
      <c r="C57" s="1" t="s">
        <v>1</v>
      </c>
      <c r="D57" s="1"/>
      <c r="E57" s="1"/>
      <c r="F57" s="1"/>
      <c r="G57" s="2">
        <v>0.14188127071099099</v>
      </c>
      <c r="H57" s="1"/>
      <c r="I57" s="1"/>
      <c r="J57" s="1"/>
      <c r="K57" s="1"/>
      <c r="L57" s="1"/>
      <c r="M57" s="1"/>
      <c r="N57" s="1">
        <v>1</v>
      </c>
      <c r="O57" s="1"/>
      <c r="P57" s="1"/>
      <c r="Q57" s="1"/>
    </row>
    <row r="58" spans="1:17" x14ac:dyDescent="0.3">
      <c r="B58" s="5" t="s">
        <v>119</v>
      </c>
      <c r="C58" s="1" t="s">
        <v>1</v>
      </c>
      <c r="D58" s="1"/>
      <c r="E58" s="1"/>
      <c r="F58" s="1"/>
      <c r="G58" s="1"/>
      <c r="H58" s="2">
        <v>0.52559127821811902</v>
      </c>
      <c r="I58" s="2"/>
      <c r="J58" s="1"/>
      <c r="K58" s="1"/>
      <c r="L58" s="1"/>
      <c r="M58" s="1"/>
      <c r="N58" s="1"/>
      <c r="O58" s="1">
        <v>23</v>
      </c>
      <c r="P58" s="1"/>
      <c r="Q58" s="1"/>
    </row>
    <row r="59" spans="1:17" x14ac:dyDescent="0.3">
      <c r="B59" s="5" t="s">
        <v>120</v>
      </c>
      <c r="C59" s="1" t="s">
        <v>1</v>
      </c>
      <c r="D59" s="1"/>
      <c r="E59" s="1"/>
      <c r="F59" s="2">
        <v>0.17079566885542699</v>
      </c>
      <c r="G59" s="1"/>
      <c r="H59" s="1"/>
      <c r="I59" s="1"/>
      <c r="J59" s="1"/>
      <c r="K59" s="1"/>
      <c r="L59" s="1"/>
      <c r="M59" s="1">
        <v>3</v>
      </c>
      <c r="N59" s="1"/>
      <c r="O59" s="1"/>
      <c r="P59" s="1"/>
      <c r="Q59" s="1"/>
    </row>
    <row r="60" spans="1:17" x14ac:dyDescent="0.3">
      <c r="B60" s="5" t="s">
        <v>121</v>
      </c>
      <c r="C60" s="1" t="s">
        <v>1</v>
      </c>
      <c r="D60" s="2">
        <v>0.181241292778313</v>
      </c>
      <c r="E60" s="1"/>
      <c r="F60" s="1"/>
      <c r="G60" s="1"/>
      <c r="H60" s="1"/>
      <c r="I60" s="1"/>
      <c r="J60" s="1"/>
      <c r="K60" s="1">
        <v>5</v>
      </c>
      <c r="L60" s="1"/>
      <c r="M60" s="1"/>
      <c r="N60" s="1"/>
      <c r="O60" s="1"/>
      <c r="P60" s="1"/>
      <c r="Q60" s="1"/>
    </row>
    <row r="61" spans="1:17" x14ac:dyDescent="0.3">
      <c r="A61" s="1" t="s">
        <v>11</v>
      </c>
      <c r="B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B62" s="5" t="s">
        <v>122</v>
      </c>
      <c r="C62" s="1" t="s">
        <v>1</v>
      </c>
      <c r="D62" s="1"/>
      <c r="E62" s="1"/>
      <c r="F62" s="1"/>
      <c r="G62" s="1"/>
      <c r="H62" s="2">
        <v>3.6734705665260901E-2</v>
      </c>
      <c r="I62" s="2"/>
      <c r="J62" s="1"/>
      <c r="K62" s="1"/>
      <c r="L62" s="1"/>
      <c r="M62" s="1"/>
      <c r="N62" s="1"/>
      <c r="O62" s="1">
        <v>1</v>
      </c>
      <c r="P62" s="1"/>
      <c r="Q62" s="1"/>
    </row>
    <row r="63" spans="1:17" x14ac:dyDescent="0.3">
      <c r="B63" s="5" t="s">
        <v>123</v>
      </c>
      <c r="C63" s="1" t="s">
        <v>1</v>
      </c>
      <c r="D63" s="1"/>
      <c r="E63" s="1"/>
      <c r="F63" s="1"/>
      <c r="G63" s="1"/>
      <c r="H63" s="1"/>
      <c r="I63" s="2">
        <f>J63/0.5</f>
        <v>0.46558035110572998</v>
      </c>
      <c r="J63" s="2">
        <v>0.23279017555286499</v>
      </c>
      <c r="K63" s="1"/>
      <c r="L63" s="1"/>
      <c r="M63" s="1"/>
      <c r="N63" s="1"/>
      <c r="O63" s="1"/>
      <c r="P63" s="1">
        <f>Q63/0.5</f>
        <v>10</v>
      </c>
      <c r="Q63" s="1">
        <v>5</v>
      </c>
    </row>
    <row r="64" spans="1:17" x14ac:dyDescent="0.3">
      <c r="B64" s="5" t="s">
        <v>124</v>
      </c>
      <c r="C64" s="1" t="s">
        <v>1</v>
      </c>
      <c r="D64" s="1"/>
      <c r="E64" s="2">
        <v>6.4341086943341796</v>
      </c>
      <c r="F64" s="1"/>
      <c r="G64" s="1"/>
      <c r="H64" s="1"/>
      <c r="I64" s="1"/>
      <c r="J64" s="1"/>
      <c r="K64" s="1"/>
      <c r="L64" s="1">
        <v>19</v>
      </c>
      <c r="M64" s="1"/>
      <c r="N64" s="1"/>
      <c r="O64" s="1"/>
      <c r="P64" s="1"/>
      <c r="Q64" s="1"/>
    </row>
    <row r="65" spans="1:17" x14ac:dyDescent="0.3">
      <c r="B65" s="5" t="s">
        <v>125</v>
      </c>
      <c r="C65" s="1" t="s">
        <v>1</v>
      </c>
      <c r="D65" s="2">
        <v>3.6535614942795198</v>
      </c>
      <c r="E65" s="1"/>
      <c r="F65" s="2">
        <v>2.5812065693661301</v>
      </c>
      <c r="G65" s="1"/>
      <c r="H65" s="2">
        <v>0.119649106418003</v>
      </c>
      <c r="I65" s="2"/>
      <c r="J65" s="1"/>
      <c r="K65" s="1">
        <v>81</v>
      </c>
      <c r="L65" s="1"/>
      <c r="M65" s="1">
        <v>37</v>
      </c>
      <c r="N65" s="1"/>
      <c r="O65" s="1">
        <v>1</v>
      </c>
      <c r="P65" s="1"/>
      <c r="Q65" s="1"/>
    </row>
    <row r="66" spans="1:17" x14ac:dyDescent="0.3">
      <c r="B66" s="5" t="s">
        <v>410</v>
      </c>
      <c r="C66" s="1" t="s">
        <v>1</v>
      </c>
      <c r="D66" s="1"/>
      <c r="E66" s="1"/>
      <c r="F66" s="1"/>
      <c r="G66" s="2">
        <v>1.6755706584335901E-2</v>
      </c>
      <c r="H66" s="1"/>
      <c r="I66" s="1"/>
      <c r="J66" s="1"/>
      <c r="K66" s="1"/>
      <c r="L66" s="1"/>
      <c r="M66" s="1"/>
      <c r="N66" s="1">
        <v>1</v>
      </c>
      <c r="O66" s="1"/>
      <c r="P66" s="1"/>
      <c r="Q66" s="1"/>
    </row>
    <row r="67" spans="1:17" x14ac:dyDescent="0.3">
      <c r="B67" s="5" t="s">
        <v>126</v>
      </c>
      <c r="C67" s="1" t="s">
        <v>1</v>
      </c>
      <c r="D67" s="2">
        <v>1.6985271567003302E-2</v>
      </c>
      <c r="E67" s="1"/>
      <c r="F67" s="1"/>
      <c r="G67" s="1"/>
      <c r="H67" s="1"/>
      <c r="I67" s="1"/>
      <c r="J67" s="1"/>
      <c r="K67" s="1">
        <v>1</v>
      </c>
      <c r="L67" s="1"/>
      <c r="M67" s="1"/>
      <c r="N67" s="1"/>
      <c r="O67" s="1"/>
      <c r="P67" s="1"/>
      <c r="Q67" s="1"/>
    </row>
    <row r="68" spans="1:17" x14ac:dyDescent="0.3">
      <c r="A68" s="1" t="s">
        <v>12</v>
      </c>
      <c r="B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B69" s="5" t="s">
        <v>127</v>
      </c>
      <c r="C69" s="1" t="s">
        <v>1</v>
      </c>
      <c r="D69" s="2">
        <v>1.2478261374094199</v>
      </c>
      <c r="E69" s="1"/>
      <c r="F69" s="1"/>
      <c r="G69" s="1"/>
      <c r="H69" s="1"/>
      <c r="I69" s="1"/>
      <c r="J69" s="1"/>
      <c r="K69" s="1">
        <v>3</v>
      </c>
      <c r="L69" s="1"/>
      <c r="M69" s="1"/>
      <c r="N69" s="1"/>
      <c r="O69" s="1"/>
      <c r="P69" s="1"/>
      <c r="Q69" s="1"/>
    </row>
    <row r="70" spans="1:17" x14ac:dyDescent="0.3">
      <c r="B70" s="5" t="s">
        <v>128</v>
      </c>
      <c r="C70" s="1" t="s">
        <v>1</v>
      </c>
      <c r="D70" s="1"/>
      <c r="E70" s="2">
        <v>5.9398066578506503</v>
      </c>
      <c r="F70" s="1"/>
      <c r="G70" s="1"/>
      <c r="H70" s="1"/>
      <c r="I70" s="1"/>
      <c r="J70" s="1"/>
      <c r="K70" s="1"/>
      <c r="L70" s="1">
        <v>7</v>
      </c>
      <c r="M70" s="1"/>
      <c r="N70" s="1"/>
      <c r="O70" s="1"/>
      <c r="P70" s="1"/>
      <c r="Q70" s="1"/>
    </row>
    <row r="71" spans="1:17" x14ac:dyDescent="0.3">
      <c r="A71" s="1" t="s">
        <v>13</v>
      </c>
      <c r="B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B72" s="5" t="s">
        <v>129</v>
      </c>
      <c r="C72" s="1" t="s">
        <v>1</v>
      </c>
      <c r="D72" s="2">
        <v>0.68240427147142801</v>
      </c>
      <c r="E72" s="1"/>
      <c r="F72" s="1"/>
      <c r="G72" s="1"/>
      <c r="H72" s="1"/>
      <c r="I72" s="1"/>
      <c r="J72" s="1"/>
      <c r="K72" s="1">
        <v>1</v>
      </c>
      <c r="L72" s="1"/>
      <c r="M72" s="1"/>
      <c r="N72" s="1"/>
      <c r="O72" s="1"/>
      <c r="P72" s="1"/>
      <c r="Q72" s="1"/>
    </row>
    <row r="73" spans="1:17" x14ac:dyDescent="0.3">
      <c r="A73" s="1" t="s">
        <v>14</v>
      </c>
      <c r="B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B74" s="5" t="s">
        <v>130</v>
      </c>
      <c r="C74" s="1" t="s">
        <v>1</v>
      </c>
      <c r="D74" s="1"/>
      <c r="E74" s="2">
        <v>0.19714025399205101</v>
      </c>
      <c r="F74" s="1"/>
      <c r="G74" s="1"/>
      <c r="H74" s="1"/>
      <c r="I74" s="1"/>
      <c r="J74" s="1"/>
      <c r="K74" s="1"/>
      <c r="L74" s="1">
        <v>16</v>
      </c>
      <c r="M74" s="1"/>
      <c r="N74" s="1"/>
      <c r="O74" s="1"/>
      <c r="P74" s="1"/>
      <c r="Q74" s="1"/>
    </row>
    <row r="75" spans="1:17" x14ac:dyDescent="0.3">
      <c r="A75" s="1" t="s">
        <v>15</v>
      </c>
      <c r="B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B76" s="5" t="s">
        <v>131</v>
      </c>
      <c r="C76" s="1" t="s">
        <v>1</v>
      </c>
      <c r="D76" s="1"/>
      <c r="E76" s="2">
        <v>0.47790688722791003</v>
      </c>
      <c r="F76" s="2">
        <v>1.52225797687027E-2</v>
      </c>
      <c r="G76" s="2">
        <v>2.6000827773323899E-2</v>
      </c>
      <c r="H76" s="1"/>
      <c r="I76" s="1"/>
      <c r="J76" s="1"/>
      <c r="K76" s="1"/>
      <c r="L76" s="1">
        <v>6</v>
      </c>
      <c r="M76" s="1">
        <v>1</v>
      </c>
      <c r="N76" s="1">
        <v>2</v>
      </c>
      <c r="O76" s="1"/>
      <c r="P76" s="1"/>
      <c r="Q76" s="1"/>
    </row>
    <row r="77" spans="1:17" x14ac:dyDescent="0.3">
      <c r="A77" s="1" t="s">
        <v>16</v>
      </c>
      <c r="B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B78" s="5" t="s">
        <v>132</v>
      </c>
      <c r="C78" s="1" t="s">
        <v>1</v>
      </c>
      <c r="D78" s="1"/>
      <c r="E78" s="2">
        <v>3.1667891979566298</v>
      </c>
      <c r="F78" s="1"/>
      <c r="G78" s="1"/>
      <c r="H78" s="1"/>
      <c r="I78" s="1"/>
      <c r="J78" s="1"/>
      <c r="K78" s="1"/>
      <c r="L78" s="1">
        <v>13</v>
      </c>
      <c r="M78" s="1"/>
      <c r="N78" s="1"/>
      <c r="O78" s="1"/>
      <c r="P78" s="1"/>
      <c r="Q78" s="1"/>
    </row>
    <row r="79" spans="1:17" x14ac:dyDescent="0.3">
      <c r="A79" s="1" t="s">
        <v>17</v>
      </c>
      <c r="B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3">
      <c r="B80" s="5" t="s">
        <v>133</v>
      </c>
      <c r="C80" s="1" t="s">
        <v>1</v>
      </c>
      <c r="D80" s="2">
        <v>6.1104807056637699E-2</v>
      </c>
      <c r="E80" s="2">
        <v>0.49278769854718701</v>
      </c>
      <c r="F80" s="1"/>
      <c r="G80" s="1"/>
      <c r="H80" s="1"/>
      <c r="I80" s="1"/>
      <c r="J80" s="1"/>
      <c r="K80" s="1">
        <v>3</v>
      </c>
      <c r="L80" s="1">
        <v>5</v>
      </c>
      <c r="M80" s="1"/>
      <c r="N80" s="1"/>
      <c r="O80" s="1"/>
      <c r="P80" s="1"/>
      <c r="Q80" s="1"/>
    </row>
    <row r="81" spans="1:17" x14ac:dyDescent="0.3">
      <c r="B81" s="5" t="s">
        <v>134</v>
      </c>
      <c r="C81" s="1" t="s">
        <v>1</v>
      </c>
      <c r="D81" s="2">
        <v>0.241069666805378</v>
      </c>
      <c r="E81" s="2">
        <v>4.7856926437477798E-2</v>
      </c>
      <c r="F81" s="1"/>
      <c r="G81" s="1"/>
      <c r="H81" s="2">
        <v>9.2877069374785695E-2</v>
      </c>
      <c r="I81" s="2"/>
      <c r="J81" s="1"/>
      <c r="K81" s="1">
        <v>5</v>
      </c>
      <c r="L81" s="1">
        <v>4</v>
      </c>
      <c r="M81" s="1"/>
      <c r="N81" s="1"/>
      <c r="O81" s="1">
        <v>2</v>
      </c>
      <c r="P81" s="1"/>
      <c r="Q81" s="1"/>
    </row>
    <row r="82" spans="1:17" x14ac:dyDescent="0.3">
      <c r="B82" s="5" t="s">
        <v>135</v>
      </c>
      <c r="C82" s="1" t="s">
        <v>1</v>
      </c>
      <c r="D82" s="1"/>
      <c r="E82" s="1"/>
      <c r="F82" s="2">
        <v>2.9146784131809999E-2</v>
      </c>
      <c r="G82" s="1"/>
      <c r="H82" s="1"/>
      <c r="I82" s="1"/>
      <c r="J82" s="1"/>
      <c r="K82" s="1"/>
      <c r="L82" s="1"/>
      <c r="M82" s="1">
        <v>2</v>
      </c>
      <c r="N82" s="1"/>
      <c r="O82" s="1"/>
      <c r="P82" s="1"/>
      <c r="Q82" s="1"/>
    </row>
    <row r="83" spans="1:17" x14ac:dyDescent="0.3">
      <c r="B83" s="5" t="s">
        <v>136</v>
      </c>
      <c r="C83" s="1" t="s">
        <v>1</v>
      </c>
      <c r="D83" s="2">
        <v>0.374638028437002</v>
      </c>
      <c r="E83" s="1"/>
      <c r="F83" s="1"/>
      <c r="G83" s="1"/>
      <c r="H83" s="1"/>
      <c r="I83" s="1"/>
      <c r="J83" s="1"/>
      <c r="K83" s="1">
        <v>8</v>
      </c>
      <c r="L83" s="1"/>
      <c r="M83" s="1"/>
      <c r="N83" s="1"/>
      <c r="O83" s="1"/>
      <c r="P83" s="1"/>
      <c r="Q83" s="1"/>
    </row>
    <row r="84" spans="1:17" x14ac:dyDescent="0.3">
      <c r="A84" s="1" t="s">
        <v>18</v>
      </c>
      <c r="B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B85" s="5" t="s">
        <v>137</v>
      </c>
      <c r="C85" s="1" t="s">
        <v>1</v>
      </c>
      <c r="D85" s="2">
        <v>2.3900858330891599</v>
      </c>
      <c r="E85" s="1"/>
      <c r="F85" s="1"/>
      <c r="G85" s="1"/>
      <c r="H85" s="1"/>
      <c r="I85" s="1"/>
      <c r="J85" s="1"/>
      <c r="K85" s="1">
        <v>3</v>
      </c>
      <c r="L85" s="1"/>
      <c r="M85" s="1"/>
      <c r="N85" s="1"/>
      <c r="O85" s="1"/>
      <c r="P85" s="1"/>
      <c r="Q85" s="1"/>
    </row>
    <row r="86" spans="1:17" x14ac:dyDescent="0.3">
      <c r="A86" s="1" t="s">
        <v>19</v>
      </c>
      <c r="B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B87" s="5" t="s">
        <v>138</v>
      </c>
      <c r="C87" s="1" t="s">
        <v>1</v>
      </c>
      <c r="D87" s="1"/>
      <c r="E87" s="2">
        <v>0.123671043558866</v>
      </c>
      <c r="F87" s="2">
        <v>0.44385543508339897</v>
      </c>
      <c r="G87" s="2">
        <v>17.4393343610061</v>
      </c>
      <c r="H87" s="2">
        <v>0.29741503487966497</v>
      </c>
      <c r="I87" s="2">
        <f>J87/0.5</f>
        <v>8.3918446386453002E-2</v>
      </c>
      <c r="J87" s="2">
        <v>4.1959223193226501E-2</v>
      </c>
      <c r="K87" s="1"/>
      <c r="L87" s="1">
        <v>1</v>
      </c>
      <c r="M87" s="1">
        <v>9</v>
      </c>
      <c r="N87" s="1">
        <v>96</v>
      </c>
      <c r="O87" s="1">
        <v>8</v>
      </c>
      <c r="P87" s="1">
        <f>Q87/0.5</f>
        <v>6</v>
      </c>
      <c r="Q87" s="1">
        <v>3</v>
      </c>
    </row>
    <row r="88" spans="1:17" x14ac:dyDescent="0.3">
      <c r="A88" s="1" t="s">
        <v>20</v>
      </c>
      <c r="B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B89" s="5" t="s">
        <v>139</v>
      </c>
      <c r="C89" s="1" t="s">
        <v>1</v>
      </c>
      <c r="D89" s="1"/>
      <c r="E89" s="2">
        <v>3.4229054268783601E-2</v>
      </c>
      <c r="F89" s="1"/>
      <c r="G89" s="1"/>
      <c r="H89" s="1"/>
      <c r="I89" s="1"/>
      <c r="J89" s="1"/>
      <c r="K89" s="1"/>
      <c r="L89" s="1">
        <v>1</v>
      </c>
      <c r="M89" s="1"/>
      <c r="N89" s="1"/>
      <c r="O89" s="1"/>
      <c r="P89" s="1"/>
      <c r="Q89" s="1"/>
    </row>
    <row r="90" spans="1:17" x14ac:dyDescent="0.3">
      <c r="A90" s="1" t="s">
        <v>21</v>
      </c>
      <c r="B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B91" s="5" t="s">
        <v>140</v>
      </c>
      <c r="C91" s="1" t="s">
        <v>5</v>
      </c>
      <c r="D91" s="1"/>
      <c r="E91" s="1"/>
      <c r="F91" s="1"/>
      <c r="G91" s="2">
        <v>1.1793424013406599</v>
      </c>
      <c r="H91" s="1"/>
      <c r="I91" s="1"/>
      <c r="J91" s="1"/>
      <c r="K91" s="1"/>
      <c r="L91" s="1"/>
      <c r="M91" s="1"/>
      <c r="N91" s="1">
        <v>3</v>
      </c>
      <c r="O91" s="1"/>
      <c r="P91" s="1"/>
      <c r="Q91" s="1"/>
    </row>
    <row r="92" spans="1:17" x14ac:dyDescent="0.3">
      <c r="A92" s="1" t="s">
        <v>22</v>
      </c>
      <c r="B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B93" s="5" t="s">
        <v>141</v>
      </c>
      <c r="C93" s="1" t="s">
        <v>1</v>
      </c>
      <c r="D93" s="1"/>
      <c r="E93" s="2">
        <v>0.789960559967956</v>
      </c>
      <c r="F93" s="1"/>
      <c r="G93" s="2">
        <v>7.2968294411115998E-3</v>
      </c>
      <c r="H93" s="1"/>
      <c r="I93" s="1"/>
      <c r="J93" s="1"/>
      <c r="K93" s="1"/>
      <c r="L93" s="1">
        <v>7</v>
      </c>
      <c r="M93" s="1"/>
      <c r="N93" s="1">
        <v>1</v>
      </c>
      <c r="O93" s="1"/>
      <c r="P93" s="1"/>
      <c r="Q93" s="1"/>
    </row>
    <row r="94" spans="1:17" x14ac:dyDescent="0.3">
      <c r="A94" s="1" t="s">
        <v>23</v>
      </c>
      <c r="B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">
      <c r="B95" s="5" t="s">
        <v>142</v>
      </c>
      <c r="C95" s="1" t="s">
        <v>1</v>
      </c>
      <c r="D95" s="1"/>
      <c r="E95" s="1"/>
      <c r="F95" s="1"/>
      <c r="G95" s="1"/>
      <c r="H95" s="1"/>
      <c r="I95" s="2">
        <f>J95/0.5</f>
        <v>0.80912438434784595</v>
      </c>
      <c r="J95" s="2">
        <v>0.40456219217392297</v>
      </c>
      <c r="K95" s="1"/>
      <c r="L95" s="1"/>
      <c r="M95" s="1"/>
      <c r="N95" s="1"/>
      <c r="O95" s="1"/>
      <c r="P95" s="1">
        <f>Q95/0.5</f>
        <v>26</v>
      </c>
      <c r="Q95" s="1">
        <v>13</v>
      </c>
    </row>
    <row r="96" spans="1:17" x14ac:dyDescent="0.3">
      <c r="A96" s="1" t="s">
        <v>24</v>
      </c>
      <c r="B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">
      <c r="B97" s="5" t="s">
        <v>411</v>
      </c>
      <c r="C97" s="1" t="s">
        <v>1</v>
      </c>
      <c r="D97" s="1"/>
      <c r="E97" s="2">
        <v>1.37918424419775E-2</v>
      </c>
      <c r="F97" s="1"/>
      <c r="G97" s="1"/>
      <c r="H97" s="1"/>
      <c r="I97" s="1"/>
      <c r="J97" s="1"/>
      <c r="K97" s="1"/>
      <c r="L97" s="1">
        <v>2</v>
      </c>
      <c r="M97" s="1"/>
      <c r="N97" s="1"/>
      <c r="O97" s="1"/>
      <c r="P97" s="1"/>
      <c r="Q97" s="1"/>
    </row>
    <row r="98" spans="1:17" x14ac:dyDescent="0.3">
      <c r="B98" s="5" t="s">
        <v>143</v>
      </c>
      <c r="C98" s="1" t="s">
        <v>1</v>
      </c>
      <c r="D98" s="2">
        <v>9.4916453665547407E-2</v>
      </c>
      <c r="E98" s="1"/>
      <c r="F98" s="1"/>
      <c r="G98" s="1"/>
      <c r="H98" s="1"/>
      <c r="I98" s="1"/>
      <c r="J98" s="1"/>
      <c r="K98" s="1">
        <v>2</v>
      </c>
      <c r="L98" s="1"/>
      <c r="M98" s="1"/>
      <c r="N98" s="1"/>
      <c r="O98" s="1"/>
      <c r="P98" s="1"/>
      <c r="Q98" s="1"/>
    </row>
    <row r="99" spans="1:17" x14ac:dyDescent="0.3">
      <c r="A99" s="1" t="s">
        <v>25</v>
      </c>
      <c r="B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">
      <c r="B100" s="5" t="s">
        <v>144</v>
      </c>
      <c r="C100" s="1" t="s">
        <v>1</v>
      </c>
      <c r="D100" s="1"/>
      <c r="E100" s="2">
        <v>0.56346469490927997</v>
      </c>
      <c r="F100" s="1"/>
      <c r="G100" s="1"/>
      <c r="H100" s="1"/>
      <c r="I100" s="1"/>
      <c r="J100" s="1"/>
      <c r="K100" s="1"/>
      <c r="L100" s="1">
        <v>25</v>
      </c>
      <c r="M100" s="1"/>
      <c r="N100" s="1"/>
      <c r="O100" s="1"/>
      <c r="P100" s="1"/>
      <c r="Q100" s="1"/>
    </row>
    <row r="101" spans="1:17" x14ac:dyDescent="0.3">
      <c r="B101" s="5" t="s">
        <v>145</v>
      </c>
      <c r="C101" s="1" t="s">
        <v>1</v>
      </c>
      <c r="D101" s="1"/>
      <c r="E101" s="2">
        <v>9.3769375472659792E-3</v>
      </c>
      <c r="F101" s="1"/>
      <c r="G101" s="1"/>
      <c r="H101" s="2">
        <v>4.26561282125337E-2</v>
      </c>
      <c r="I101" s="2"/>
      <c r="J101" s="1"/>
      <c r="K101" s="1"/>
      <c r="L101" s="1">
        <v>1</v>
      </c>
      <c r="M101" s="1"/>
      <c r="N101" s="1"/>
      <c r="O101" s="1">
        <v>2</v>
      </c>
      <c r="P101" s="1"/>
      <c r="Q101" s="1"/>
    </row>
    <row r="102" spans="1:17" x14ac:dyDescent="0.3">
      <c r="B102" s="5" t="s">
        <v>146</v>
      </c>
      <c r="C102" s="1" t="s">
        <v>1</v>
      </c>
      <c r="D102" s="1"/>
      <c r="E102" s="2">
        <v>0.57609713770174198</v>
      </c>
      <c r="F102" s="1"/>
      <c r="G102" s="1"/>
      <c r="H102" s="2">
        <v>3.7529667869018998E-2</v>
      </c>
      <c r="I102" s="2"/>
      <c r="J102" s="1"/>
      <c r="K102" s="1"/>
      <c r="L102" s="1">
        <v>5</v>
      </c>
      <c r="M102" s="1"/>
      <c r="N102" s="1"/>
      <c r="O102" s="1">
        <v>3</v>
      </c>
      <c r="P102" s="1"/>
      <c r="Q102" s="1"/>
    </row>
    <row r="103" spans="1:17" x14ac:dyDescent="0.3">
      <c r="B103" s="5" t="s">
        <v>147</v>
      </c>
      <c r="C103" s="1" t="s">
        <v>1</v>
      </c>
      <c r="D103" s="1"/>
      <c r="E103" s="2">
        <v>2.16441137644405</v>
      </c>
      <c r="F103" s="1"/>
      <c r="G103" s="1"/>
      <c r="H103" s="1"/>
      <c r="I103" s="1"/>
      <c r="J103" s="1"/>
      <c r="K103" s="1"/>
      <c r="L103" s="1">
        <v>13</v>
      </c>
      <c r="M103" s="1"/>
      <c r="N103" s="1"/>
      <c r="O103" s="1"/>
      <c r="P103" s="1"/>
      <c r="Q103" s="1"/>
    </row>
    <row r="104" spans="1:17" x14ac:dyDescent="0.3">
      <c r="B104" s="5" t="s">
        <v>148</v>
      </c>
      <c r="C104" s="1" t="s">
        <v>1</v>
      </c>
      <c r="D104" s="1"/>
      <c r="E104" s="1"/>
      <c r="F104" s="1"/>
      <c r="G104" s="2">
        <v>3.5611509106759302E-2</v>
      </c>
      <c r="H104" s="1"/>
      <c r="I104" s="1"/>
      <c r="J104" s="1"/>
      <c r="K104" s="1"/>
      <c r="L104" s="1"/>
      <c r="M104" s="1"/>
      <c r="N104" s="1">
        <v>1</v>
      </c>
      <c r="O104" s="1"/>
      <c r="P104" s="1"/>
      <c r="Q104" s="1"/>
    </row>
    <row r="105" spans="1:17" x14ac:dyDescent="0.3">
      <c r="B105" s="5" t="s">
        <v>149</v>
      </c>
      <c r="C105" s="1" t="s">
        <v>1</v>
      </c>
      <c r="D105" s="2">
        <v>0.54020291929188002</v>
      </c>
      <c r="E105" s="1"/>
      <c r="F105" s="1"/>
      <c r="G105" s="1"/>
      <c r="H105" s="1"/>
      <c r="I105" s="1"/>
      <c r="J105" s="1"/>
      <c r="K105" s="1">
        <v>1</v>
      </c>
      <c r="L105" s="1"/>
      <c r="M105" s="1"/>
      <c r="N105" s="1"/>
      <c r="O105" s="1"/>
      <c r="P105" s="1"/>
      <c r="Q105" s="1"/>
    </row>
    <row r="106" spans="1:17" x14ac:dyDescent="0.3">
      <c r="B106" s="5" t="s">
        <v>150</v>
      </c>
      <c r="C106" s="1" t="s">
        <v>1</v>
      </c>
      <c r="D106" s="2">
        <v>2.0915501405571799</v>
      </c>
      <c r="E106" s="1"/>
      <c r="F106" s="1"/>
      <c r="G106" s="1"/>
      <c r="H106" s="2">
        <v>1.3020031634747899</v>
      </c>
      <c r="I106" s="2"/>
      <c r="J106" s="1"/>
      <c r="K106" s="1">
        <v>17</v>
      </c>
      <c r="L106" s="1"/>
      <c r="M106" s="1"/>
      <c r="N106" s="1"/>
      <c r="O106" s="1">
        <v>18</v>
      </c>
      <c r="P106" s="1"/>
      <c r="Q106" s="1"/>
    </row>
    <row r="107" spans="1:17" x14ac:dyDescent="0.3">
      <c r="B107" s="5" t="s">
        <v>151</v>
      </c>
      <c r="C107" s="1" t="s">
        <v>1</v>
      </c>
      <c r="D107" s="1"/>
      <c r="E107" s="1"/>
      <c r="F107" s="1"/>
      <c r="G107" s="1"/>
      <c r="H107" s="2">
        <v>2.2320748599487299</v>
      </c>
      <c r="I107" s="2"/>
      <c r="J107" s="1"/>
      <c r="K107" s="1"/>
      <c r="L107" s="1"/>
      <c r="M107" s="1"/>
      <c r="N107" s="1"/>
      <c r="O107" s="1">
        <v>24</v>
      </c>
      <c r="P107" s="1"/>
      <c r="Q107" s="1"/>
    </row>
    <row r="108" spans="1:17" x14ac:dyDescent="0.3">
      <c r="B108" s="5" t="s">
        <v>152</v>
      </c>
      <c r="C108" s="1" t="s">
        <v>1</v>
      </c>
      <c r="D108" s="2">
        <v>2.2744358685995201E-2</v>
      </c>
      <c r="E108" s="2">
        <v>1.8557770939306</v>
      </c>
      <c r="F108" s="1"/>
      <c r="G108" s="1"/>
      <c r="H108" s="1"/>
      <c r="I108" s="1"/>
      <c r="J108" s="1"/>
      <c r="K108" s="1">
        <v>2</v>
      </c>
      <c r="L108" s="1">
        <v>20</v>
      </c>
      <c r="M108" s="1"/>
      <c r="N108" s="1"/>
      <c r="O108" s="1"/>
      <c r="P108" s="1"/>
      <c r="Q108" s="1"/>
    </row>
    <row r="109" spans="1:17" x14ac:dyDescent="0.3">
      <c r="B109" s="5" t="s">
        <v>153</v>
      </c>
      <c r="C109" s="1" t="s">
        <v>1</v>
      </c>
      <c r="D109" s="1"/>
      <c r="E109" s="2">
        <v>0.13193501128624299</v>
      </c>
      <c r="F109" s="1"/>
      <c r="G109" s="1"/>
      <c r="H109" s="1"/>
      <c r="I109" s="1"/>
      <c r="J109" s="1"/>
      <c r="K109" s="1"/>
      <c r="L109" s="1">
        <v>7</v>
      </c>
      <c r="M109" s="1"/>
      <c r="N109" s="1"/>
      <c r="O109" s="1"/>
      <c r="P109" s="1"/>
      <c r="Q109" s="1"/>
    </row>
    <row r="110" spans="1:17" x14ac:dyDescent="0.3">
      <c r="A110" s="1" t="s">
        <v>26</v>
      </c>
      <c r="B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">
      <c r="B111" s="5" t="s">
        <v>154</v>
      </c>
      <c r="C111" s="1" t="s">
        <v>1</v>
      </c>
      <c r="D111" s="1"/>
      <c r="E111" s="2">
        <v>1.18505390530784E-2</v>
      </c>
      <c r="F111" s="1"/>
      <c r="G111" s="1"/>
      <c r="H111" s="1"/>
      <c r="I111" s="1"/>
      <c r="J111" s="1"/>
      <c r="K111" s="1"/>
      <c r="L111" s="1">
        <v>1</v>
      </c>
      <c r="M111" s="1"/>
      <c r="N111" s="1"/>
      <c r="O111" s="1"/>
      <c r="P111" s="1"/>
      <c r="Q111" s="1"/>
    </row>
    <row r="112" spans="1:17" x14ac:dyDescent="0.3">
      <c r="B112" s="5" t="s">
        <v>155</v>
      </c>
      <c r="C112" s="1" t="s">
        <v>1</v>
      </c>
      <c r="D112" s="2">
        <v>0.55163548476090696</v>
      </c>
      <c r="E112" s="1"/>
      <c r="F112" s="1"/>
      <c r="G112" s="1"/>
      <c r="H112" s="1"/>
      <c r="I112" s="1"/>
      <c r="J112" s="1"/>
      <c r="K112" s="1">
        <v>6</v>
      </c>
      <c r="L112" s="1"/>
      <c r="M112" s="1"/>
      <c r="N112" s="1"/>
      <c r="O112" s="1"/>
      <c r="P112" s="1"/>
      <c r="Q112" s="1"/>
    </row>
    <row r="113" spans="2:17" x14ac:dyDescent="0.3">
      <c r="B113" s="5" t="s">
        <v>156</v>
      </c>
      <c r="C113" s="1" t="s">
        <v>1</v>
      </c>
      <c r="D113" s="2">
        <v>1.4724617803925899</v>
      </c>
      <c r="E113" s="2">
        <v>0.993287868956787</v>
      </c>
      <c r="F113" s="1"/>
      <c r="G113" s="1"/>
      <c r="H113" s="1"/>
      <c r="I113" s="1"/>
      <c r="J113" s="1"/>
      <c r="K113" s="1">
        <v>6</v>
      </c>
      <c r="L113" s="1">
        <v>1</v>
      </c>
      <c r="M113" s="1"/>
      <c r="N113" s="1"/>
      <c r="O113" s="1"/>
      <c r="P113" s="1"/>
      <c r="Q113" s="1"/>
    </row>
    <row r="114" spans="2:17" x14ac:dyDescent="0.3">
      <c r="B114" s="5" t="s">
        <v>157</v>
      </c>
      <c r="C114" s="1" t="s">
        <v>1</v>
      </c>
      <c r="D114" s="2">
        <v>0.513690819313113</v>
      </c>
      <c r="E114" s="2">
        <v>0.76412770710464595</v>
      </c>
      <c r="F114" s="1"/>
      <c r="G114" s="1"/>
      <c r="H114" s="1"/>
      <c r="I114" s="1"/>
      <c r="J114" s="1"/>
      <c r="K114" s="1">
        <v>2</v>
      </c>
      <c r="L114" s="1">
        <v>3</v>
      </c>
      <c r="M114" s="1"/>
      <c r="N114" s="1"/>
      <c r="O114" s="1"/>
      <c r="P114" s="1"/>
      <c r="Q114" s="1"/>
    </row>
    <row r="115" spans="2:17" x14ac:dyDescent="0.3">
      <c r="B115" s="5" t="s">
        <v>158</v>
      </c>
      <c r="C115" s="1" t="s">
        <v>1</v>
      </c>
      <c r="D115" s="1"/>
      <c r="E115" s="2">
        <v>1.00171661281126</v>
      </c>
      <c r="F115" s="1"/>
      <c r="G115" s="1"/>
      <c r="H115" s="1"/>
      <c r="I115" s="1"/>
      <c r="J115" s="1"/>
      <c r="K115" s="1"/>
      <c r="L115" s="1">
        <v>21</v>
      </c>
      <c r="M115" s="1"/>
      <c r="N115" s="1"/>
      <c r="O115" s="1"/>
      <c r="P115" s="1"/>
      <c r="Q115" s="1"/>
    </row>
    <row r="116" spans="2:17" x14ac:dyDescent="0.3">
      <c r="B116" s="5" t="s">
        <v>159</v>
      </c>
      <c r="C116" s="1" t="s">
        <v>1</v>
      </c>
      <c r="D116" s="2">
        <v>2.6860864270085201</v>
      </c>
      <c r="E116" s="1"/>
      <c r="F116" s="1"/>
      <c r="G116" s="1"/>
      <c r="H116" s="2">
        <v>3.2883744177518799</v>
      </c>
      <c r="I116" s="2"/>
      <c r="J116" s="1"/>
      <c r="K116" s="1">
        <v>5</v>
      </c>
      <c r="L116" s="1"/>
      <c r="M116" s="1"/>
      <c r="N116" s="1"/>
      <c r="O116" s="1">
        <v>28</v>
      </c>
      <c r="P116" s="1"/>
      <c r="Q116" s="1"/>
    </row>
    <row r="117" spans="2:17" x14ac:dyDescent="0.3">
      <c r="B117" s="5" t="s">
        <v>160</v>
      </c>
      <c r="C117" s="1" t="s">
        <v>1</v>
      </c>
      <c r="D117" s="1"/>
      <c r="E117" s="1"/>
      <c r="F117" s="1"/>
      <c r="G117" s="1"/>
      <c r="H117" s="2">
        <v>7.1497485573904701E-2</v>
      </c>
      <c r="I117" s="2"/>
      <c r="J117" s="1"/>
      <c r="K117" s="1"/>
      <c r="L117" s="1"/>
      <c r="M117" s="1"/>
      <c r="N117" s="1"/>
      <c r="O117" s="1">
        <v>3</v>
      </c>
      <c r="P117" s="1"/>
      <c r="Q117" s="1"/>
    </row>
    <row r="118" spans="2:17" x14ac:dyDescent="0.3">
      <c r="B118" s="5" t="s">
        <v>161</v>
      </c>
      <c r="C118" s="1" t="s">
        <v>1</v>
      </c>
      <c r="D118" s="2">
        <v>0.192782922551478</v>
      </c>
      <c r="E118" s="1"/>
      <c r="F118" s="1"/>
      <c r="G118" s="1"/>
      <c r="H118" s="1"/>
      <c r="I118" s="1"/>
      <c r="J118" s="1"/>
      <c r="K118" s="1">
        <v>2</v>
      </c>
      <c r="L118" s="1"/>
      <c r="M118" s="1"/>
      <c r="N118" s="1"/>
      <c r="O118" s="1"/>
      <c r="P118" s="1"/>
      <c r="Q118" s="1"/>
    </row>
    <row r="119" spans="2:17" x14ac:dyDescent="0.3">
      <c r="B119" s="5" t="s">
        <v>162</v>
      </c>
      <c r="C119" s="1" t="s">
        <v>1</v>
      </c>
      <c r="D119" s="2">
        <v>0.63402537732439501</v>
      </c>
      <c r="E119" s="1"/>
      <c r="F119" s="1"/>
      <c r="G119" s="1"/>
      <c r="H119" s="1"/>
      <c r="I119" s="1"/>
      <c r="J119" s="1"/>
      <c r="K119" s="1">
        <v>7</v>
      </c>
      <c r="L119" s="1"/>
      <c r="M119" s="1"/>
      <c r="N119" s="1"/>
      <c r="O119" s="1"/>
      <c r="P119" s="1"/>
      <c r="Q119" s="1"/>
    </row>
    <row r="120" spans="2:17" x14ac:dyDescent="0.3">
      <c r="B120" s="5" t="s">
        <v>163</v>
      </c>
      <c r="C120" s="1" t="s">
        <v>1</v>
      </c>
      <c r="D120" s="2">
        <v>7.9432190194347399E-2</v>
      </c>
      <c r="E120" s="2">
        <v>1.7296868007556401</v>
      </c>
      <c r="F120" s="1"/>
      <c r="G120" s="1"/>
      <c r="H120" s="1"/>
      <c r="I120" s="1"/>
      <c r="J120" s="1"/>
      <c r="K120" s="1">
        <v>2</v>
      </c>
      <c r="L120" s="1">
        <v>19</v>
      </c>
      <c r="M120" s="1"/>
      <c r="N120" s="1"/>
      <c r="O120" s="1"/>
      <c r="P120" s="1"/>
      <c r="Q120" s="1"/>
    </row>
    <row r="121" spans="2:17" x14ac:dyDescent="0.3">
      <c r="B121" s="5" t="s">
        <v>164</v>
      </c>
      <c r="C121" s="1" t="s">
        <v>1</v>
      </c>
      <c r="D121" s="1"/>
      <c r="E121" s="2">
        <v>7.9969464498718196E-2</v>
      </c>
      <c r="F121" s="1"/>
      <c r="G121" s="1"/>
      <c r="H121" s="1"/>
      <c r="I121" s="1"/>
      <c r="J121" s="1"/>
      <c r="K121" s="1"/>
      <c r="L121" s="1">
        <v>2</v>
      </c>
      <c r="M121" s="1"/>
      <c r="N121" s="1"/>
      <c r="O121" s="1"/>
      <c r="P121" s="1"/>
      <c r="Q121" s="1"/>
    </row>
    <row r="122" spans="2:17" x14ac:dyDescent="0.3">
      <c r="B122" s="5" t="s">
        <v>165</v>
      </c>
      <c r="C122" s="1" t="s">
        <v>1</v>
      </c>
      <c r="D122" s="1"/>
      <c r="E122" s="1"/>
      <c r="F122" s="1"/>
      <c r="G122" s="1"/>
      <c r="H122" s="2">
        <v>5.8044019810747898E-3</v>
      </c>
      <c r="I122" s="2"/>
      <c r="J122" s="1"/>
      <c r="K122" s="1"/>
      <c r="L122" s="1"/>
      <c r="M122" s="1"/>
      <c r="N122" s="1"/>
      <c r="O122" s="1">
        <v>1</v>
      </c>
      <c r="P122" s="1"/>
      <c r="Q122" s="1"/>
    </row>
    <row r="123" spans="2:17" x14ac:dyDescent="0.3">
      <c r="B123" s="5" t="s">
        <v>166</v>
      </c>
      <c r="C123" s="1" t="s">
        <v>1</v>
      </c>
      <c r="D123" s="1"/>
      <c r="E123" s="2">
        <v>0.28183732397796402</v>
      </c>
      <c r="F123" s="1"/>
      <c r="G123" s="1"/>
      <c r="H123" s="1"/>
      <c r="I123" s="1"/>
      <c r="J123" s="1"/>
      <c r="K123" s="1"/>
      <c r="L123" s="1">
        <v>10</v>
      </c>
      <c r="M123" s="1"/>
      <c r="N123" s="1"/>
      <c r="O123" s="1"/>
      <c r="P123" s="1"/>
      <c r="Q123" s="1"/>
    </row>
    <row r="124" spans="2:17" x14ac:dyDescent="0.3">
      <c r="B124" s="5" t="s">
        <v>167</v>
      </c>
      <c r="C124" s="1" t="s">
        <v>1</v>
      </c>
      <c r="D124" s="1"/>
      <c r="E124" s="2">
        <v>2.3089505779695398E-2</v>
      </c>
      <c r="F124" s="1"/>
      <c r="G124" s="1"/>
      <c r="H124" s="1"/>
      <c r="I124" s="1"/>
      <c r="J124" s="1"/>
      <c r="K124" s="1"/>
      <c r="L124" s="1">
        <v>2</v>
      </c>
      <c r="M124" s="1"/>
      <c r="N124" s="1"/>
      <c r="O124" s="1"/>
      <c r="P124" s="1"/>
      <c r="Q124" s="1"/>
    </row>
    <row r="125" spans="2:17" x14ac:dyDescent="0.3">
      <c r="B125" s="5" t="s">
        <v>168</v>
      </c>
      <c r="C125" s="1" t="s">
        <v>1</v>
      </c>
      <c r="D125" s="1"/>
      <c r="E125" s="2">
        <v>1.7172058419329701</v>
      </c>
      <c r="F125" s="1"/>
      <c r="G125" s="1"/>
      <c r="H125" s="1"/>
      <c r="I125" s="1"/>
      <c r="J125" s="1"/>
      <c r="K125" s="1"/>
      <c r="L125" s="1">
        <v>18</v>
      </c>
      <c r="M125" s="1"/>
      <c r="N125" s="1"/>
      <c r="O125" s="1"/>
      <c r="P125" s="1"/>
      <c r="Q125" s="1"/>
    </row>
    <row r="126" spans="2:17" x14ac:dyDescent="0.3">
      <c r="B126" s="5" t="s">
        <v>169</v>
      </c>
      <c r="C126" s="1" t="s">
        <v>1</v>
      </c>
      <c r="D126" s="1"/>
      <c r="E126" s="1"/>
      <c r="F126" s="1"/>
      <c r="G126" s="1"/>
      <c r="H126" s="2">
        <v>8.7957108418650204E-3</v>
      </c>
      <c r="I126" s="2"/>
      <c r="J126" s="1"/>
      <c r="K126" s="1"/>
      <c r="L126" s="1"/>
      <c r="M126" s="1"/>
      <c r="N126" s="1"/>
      <c r="O126" s="1">
        <v>1</v>
      </c>
      <c r="P126" s="1"/>
      <c r="Q126" s="1"/>
    </row>
    <row r="127" spans="2:17" x14ac:dyDescent="0.3">
      <c r="B127" s="5" t="s">
        <v>170</v>
      </c>
      <c r="C127" s="1" t="s">
        <v>1</v>
      </c>
      <c r="D127" s="2">
        <v>0.98338833266349501</v>
      </c>
      <c r="E127" s="1"/>
      <c r="F127" s="1"/>
      <c r="G127" s="1"/>
      <c r="H127" s="1"/>
      <c r="I127" s="1"/>
      <c r="J127" s="1"/>
      <c r="K127" s="1">
        <v>5</v>
      </c>
      <c r="L127" s="1"/>
      <c r="M127" s="1"/>
      <c r="N127" s="1"/>
      <c r="O127" s="1"/>
      <c r="P127" s="1"/>
      <c r="Q127" s="1"/>
    </row>
    <row r="128" spans="2:17" x14ac:dyDescent="0.3">
      <c r="B128" s="5" t="s">
        <v>171</v>
      </c>
      <c r="C128" s="1" t="s">
        <v>1</v>
      </c>
      <c r="D128" s="2">
        <v>9.8721896678847398E-2</v>
      </c>
      <c r="E128" s="1"/>
      <c r="F128" s="1"/>
      <c r="G128" s="1"/>
      <c r="H128" s="1"/>
      <c r="I128" s="1"/>
      <c r="J128" s="1"/>
      <c r="K128" s="1">
        <v>5</v>
      </c>
      <c r="L128" s="1"/>
      <c r="M128" s="1"/>
      <c r="N128" s="1"/>
      <c r="O128" s="1"/>
      <c r="P128" s="1"/>
      <c r="Q128" s="1"/>
    </row>
    <row r="129" spans="2:17" x14ac:dyDescent="0.3">
      <c r="B129" s="5" t="s">
        <v>172</v>
      </c>
      <c r="C129" s="1" t="s">
        <v>1</v>
      </c>
      <c r="D129" s="2">
        <v>1.39247743783024</v>
      </c>
      <c r="E129" s="1"/>
      <c r="F129" s="1"/>
      <c r="G129" s="1"/>
      <c r="H129" s="1"/>
      <c r="I129" s="1"/>
      <c r="J129" s="1"/>
      <c r="K129" s="1">
        <v>12</v>
      </c>
      <c r="L129" s="1"/>
      <c r="M129" s="1"/>
      <c r="N129" s="1"/>
      <c r="O129" s="1"/>
      <c r="P129" s="1"/>
      <c r="Q129" s="1"/>
    </row>
    <row r="130" spans="2:17" x14ac:dyDescent="0.3">
      <c r="B130" s="5" t="s">
        <v>173</v>
      </c>
      <c r="C130" s="1" t="s">
        <v>1</v>
      </c>
      <c r="D130" s="2">
        <v>0.32384669210971001</v>
      </c>
      <c r="E130" s="1"/>
      <c r="F130" s="1"/>
      <c r="G130" s="1"/>
      <c r="H130" s="1"/>
      <c r="I130" s="1"/>
      <c r="J130" s="1"/>
      <c r="K130" s="1">
        <v>1</v>
      </c>
      <c r="L130" s="1"/>
      <c r="M130" s="1"/>
      <c r="N130" s="1"/>
      <c r="O130" s="1"/>
      <c r="P130" s="1"/>
      <c r="Q130" s="1"/>
    </row>
    <row r="131" spans="2:17" x14ac:dyDescent="0.3">
      <c r="B131" s="5" t="s">
        <v>174</v>
      </c>
      <c r="C131" s="1" t="s">
        <v>1</v>
      </c>
      <c r="D131" s="2">
        <v>0.32558123044867998</v>
      </c>
      <c r="E131" s="2">
        <v>10.2905657195034</v>
      </c>
      <c r="F131" s="1"/>
      <c r="G131" s="1"/>
      <c r="H131" s="1"/>
      <c r="I131" s="1"/>
      <c r="J131" s="1"/>
      <c r="K131" s="1">
        <v>6</v>
      </c>
      <c r="L131" s="1">
        <v>18</v>
      </c>
      <c r="M131" s="1"/>
      <c r="N131" s="1"/>
      <c r="O131" s="1"/>
      <c r="P131" s="1"/>
      <c r="Q131" s="1"/>
    </row>
    <row r="132" spans="2:17" x14ac:dyDescent="0.3">
      <c r="B132" s="5" t="s">
        <v>175</v>
      </c>
      <c r="C132" s="1" t="s">
        <v>1</v>
      </c>
      <c r="D132" s="1"/>
      <c r="E132" s="2">
        <v>4.4136533445300099</v>
      </c>
      <c r="F132" s="1"/>
      <c r="G132" s="1"/>
      <c r="H132" s="1"/>
      <c r="I132" s="1"/>
      <c r="J132" s="1"/>
      <c r="K132" s="1"/>
      <c r="L132" s="1">
        <v>26</v>
      </c>
      <c r="M132" s="1"/>
      <c r="N132" s="1"/>
      <c r="O132" s="1"/>
      <c r="P132" s="1"/>
      <c r="Q132" s="1"/>
    </row>
    <row r="133" spans="2:17" x14ac:dyDescent="0.3">
      <c r="B133" s="5" t="s">
        <v>176</v>
      </c>
      <c r="C133" s="1" t="s">
        <v>1</v>
      </c>
      <c r="D133" s="2">
        <v>5.8372776585344101E-2</v>
      </c>
      <c r="E133" s="2">
        <v>9.83677558935889</v>
      </c>
      <c r="F133" s="1"/>
      <c r="G133" s="1"/>
      <c r="H133" s="1"/>
      <c r="I133" s="1"/>
      <c r="J133" s="1"/>
      <c r="K133" s="1">
        <v>2</v>
      </c>
      <c r="L133" s="1">
        <v>13</v>
      </c>
      <c r="M133" s="1"/>
      <c r="N133" s="1"/>
      <c r="O133" s="1"/>
      <c r="P133" s="1"/>
      <c r="Q133" s="1"/>
    </row>
    <row r="134" spans="2:17" x14ac:dyDescent="0.3">
      <c r="B134" s="5" t="s">
        <v>177</v>
      </c>
      <c r="C134" s="1" t="s">
        <v>1</v>
      </c>
      <c r="D134" s="2">
        <v>0.88827871010035497</v>
      </c>
      <c r="E134" s="1"/>
      <c r="F134" s="1"/>
      <c r="G134" s="1"/>
      <c r="H134" s="1"/>
      <c r="I134" s="1"/>
      <c r="J134" s="1"/>
      <c r="K134" s="1">
        <v>6</v>
      </c>
      <c r="L134" s="1"/>
      <c r="M134" s="1"/>
      <c r="N134" s="1"/>
      <c r="O134" s="1"/>
      <c r="P134" s="1"/>
      <c r="Q134" s="1"/>
    </row>
    <row r="135" spans="2:17" x14ac:dyDescent="0.3">
      <c r="B135" s="5" t="s">
        <v>178</v>
      </c>
      <c r="C135" s="1" t="s">
        <v>1</v>
      </c>
      <c r="D135" s="2">
        <v>7.0466839088412199</v>
      </c>
      <c r="E135" s="2">
        <v>5.2208406353807701</v>
      </c>
      <c r="F135" s="1"/>
      <c r="G135" s="1"/>
      <c r="H135" s="1"/>
      <c r="I135" s="1"/>
      <c r="J135" s="1"/>
      <c r="K135" s="1">
        <v>68</v>
      </c>
      <c r="L135" s="1">
        <v>17</v>
      </c>
      <c r="M135" s="1"/>
      <c r="N135" s="1"/>
      <c r="O135" s="1"/>
      <c r="P135" s="1"/>
      <c r="Q135" s="1"/>
    </row>
    <row r="136" spans="2:17" x14ac:dyDescent="0.3">
      <c r="B136" s="5" t="s">
        <v>179</v>
      </c>
      <c r="C136" s="1" t="s">
        <v>1</v>
      </c>
      <c r="D136" s="2">
        <v>2.0549091719065502</v>
      </c>
      <c r="E136" s="1"/>
      <c r="F136" s="1"/>
      <c r="G136" s="1"/>
      <c r="H136" s="1"/>
      <c r="I136" s="1"/>
      <c r="J136" s="1"/>
      <c r="K136" s="1">
        <v>37</v>
      </c>
      <c r="L136" s="1"/>
      <c r="M136" s="1"/>
      <c r="N136" s="1"/>
      <c r="O136" s="1"/>
      <c r="P136" s="1"/>
      <c r="Q136" s="1"/>
    </row>
    <row r="137" spans="2:17" x14ac:dyDescent="0.3">
      <c r="B137" s="5" t="s">
        <v>180</v>
      </c>
      <c r="C137" s="1" t="s">
        <v>1</v>
      </c>
      <c r="D137" s="1"/>
      <c r="E137" s="1"/>
      <c r="F137" s="1"/>
      <c r="G137" s="1"/>
      <c r="H137" s="2">
        <v>0.153514741301534</v>
      </c>
      <c r="I137" s="2"/>
      <c r="J137" s="1"/>
      <c r="K137" s="1"/>
      <c r="L137" s="1"/>
      <c r="M137" s="1"/>
      <c r="N137" s="1"/>
      <c r="O137" s="1">
        <v>2</v>
      </c>
      <c r="P137" s="1"/>
      <c r="Q137" s="1"/>
    </row>
    <row r="138" spans="2:17" x14ac:dyDescent="0.3">
      <c r="B138" s="5" t="s">
        <v>181</v>
      </c>
      <c r="C138" s="1" t="s">
        <v>1</v>
      </c>
      <c r="D138" s="1"/>
      <c r="E138" s="1"/>
      <c r="F138" s="2">
        <v>2.3769054938720902</v>
      </c>
      <c r="G138" s="1"/>
      <c r="H138" s="1"/>
      <c r="I138" s="1"/>
      <c r="J138" s="1"/>
      <c r="K138" s="1"/>
      <c r="L138" s="1"/>
      <c r="M138" s="1">
        <v>2</v>
      </c>
      <c r="N138" s="1"/>
      <c r="O138" s="1"/>
      <c r="P138" s="1"/>
      <c r="Q138" s="1"/>
    </row>
    <row r="139" spans="2:17" x14ac:dyDescent="0.3">
      <c r="B139" s="5" t="s">
        <v>182</v>
      </c>
      <c r="C139" s="1" t="s">
        <v>1</v>
      </c>
      <c r="D139" s="1"/>
      <c r="E139" s="1"/>
      <c r="F139" s="1"/>
      <c r="G139" s="1"/>
      <c r="H139" s="1"/>
      <c r="I139" s="2">
        <f>J139/0.5</f>
        <v>0.76658528108215596</v>
      </c>
      <c r="J139" s="2">
        <v>0.38329264054107798</v>
      </c>
      <c r="K139" s="1"/>
      <c r="L139" s="1"/>
      <c r="M139" s="1"/>
      <c r="N139" s="1"/>
      <c r="O139" s="1"/>
      <c r="P139" s="1">
        <f>Q139/0.5</f>
        <v>16</v>
      </c>
      <c r="Q139" s="1">
        <v>8</v>
      </c>
    </row>
    <row r="140" spans="2:17" x14ac:dyDescent="0.3">
      <c r="B140" s="5" t="s">
        <v>183</v>
      </c>
      <c r="C140" s="1" t="s">
        <v>1</v>
      </c>
      <c r="D140" s="1"/>
      <c r="E140" s="1"/>
      <c r="F140" s="1"/>
      <c r="G140" s="1"/>
      <c r="H140" s="2">
        <v>3.5002871329736097E-2</v>
      </c>
      <c r="I140" s="2"/>
      <c r="J140" s="1"/>
      <c r="K140" s="1"/>
      <c r="L140" s="1"/>
      <c r="M140" s="1"/>
      <c r="N140" s="1"/>
      <c r="O140" s="1">
        <v>1</v>
      </c>
      <c r="P140" s="1"/>
      <c r="Q140" s="1"/>
    </row>
    <row r="141" spans="2:17" x14ac:dyDescent="0.3">
      <c r="B141" s="5" t="s">
        <v>184</v>
      </c>
      <c r="C141" s="1" t="s">
        <v>1</v>
      </c>
      <c r="D141" s="1"/>
      <c r="E141" s="2">
        <v>30.040130742248799</v>
      </c>
      <c r="F141" s="1"/>
      <c r="G141" s="1"/>
      <c r="H141" s="1"/>
      <c r="I141" s="1"/>
      <c r="J141" s="1"/>
      <c r="K141" s="1"/>
      <c r="L141" s="1">
        <v>29</v>
      </c>
      <c r="M141" s="1"/>
      <c r="N141" s="1"/>
      <c r="O141" s="1"/>
      <c r="P141" s="1"/>
      <c r="Q141" s="1"/>
    </row>
    <row r="142" spans="2:17" x14ac:dyDescent="0.3">
      <c r="B142" s="5" t="s">
        <v>185</v>
      </c>
      <c r="C142" s="1" t="s">
        <v>1</v>
      </c>
      <c r="D142" s="2">
        <v>2.3733661937269499</v>
      </c>
      <c r="E142" s="2">
        <v>3.3380978237541301</v>
      </c>
      <c r="F142" s="1"/>
      <c r="G142" s="1"/>
      <c r="H142" s="1"/>
      <c r="I142" s="1"/>
      <c r="J142" s="1"/>
      <c r="K142" s="1">
        <v>7</v>
      </c>
      <c r="L142" s="1">
        <v>6</v>
      </c>
      <c r="M142" s="1"/>
      <c r="N142" s="1"/>
      <c r="O142" s="1"/>
      <c r="P142" s="1"/>
      <c r="Q142" s="1"/>
    </row>
    <row r="143" spans="2:17" x14ac:dyDescent="0.3">
      <c r="B143" s="5" t="s">
        <v>186</v>
      </c>
      <c r="C143" s="1" t="s">
        <v>1</v>
      </c>
      <c r="D143" s="2">
        <v>2.8774647597669099E-2</v>
      </c>
      <c r="E143" s="1"/>
      <c r="F143" s="1"/>
      <c r="G143" s="1"/>
      <c r="H143" s="1"/>
      <c r="I143" s="1"/>
      <c r="J143" s="1"/>
      <c r="K143" s="1">
        <v>1</v>
      </c>
      <c r="L143" s="1"/>
      <c r="M143" s="1"/>
      <c r="N143" s="1"/>
      <c r="O143" s="1"/>
      <c r="P143" s="1"/>
      <c r="Q143" s="1"/>
    </row>
    <row r="144" spans="2:17" x14ac:dyDescent="0.3">
      <c r="B144" s="5" t="s">
        <v>187</v>
      </c>
      <c r="C144" s="1" t="s">
        <v>1</v>
      </c>
      <c r="D144" s="2">
        <v>3.6721494928081699</v>
      </c>
      <c r="E144" s="1"/>
      <c r="F144" s="1"/>
      <c r="G144" s="1"/>
      <c r="H144" s="1"/>
      <c r="I144" s="1"/>
      <c r="J144" s="1"/>
      <c r="K144" s="1">
        <v>3</v>
      </c>
      <c r="L144" s="1"/>
      <c r="M144" s="1"/>
      <c r="N144" s="1"/>
      <c r="O144" s="1"/>
      <c r="P144" s="1"/>
      <c r="Q144" s="1"/>
    </row>
    <row r="145" spans="1:17" x14ac:dyDescent="0.3">
      <c r="B145" s="5" t="s">
        <v>188</v>
      </c>
      <c r="C145" s="1" t="s">
        <v>1</v>
      </c>
      <c r="D145" s="1"/>
      <c r="E145" s="1"/>
      <c r="F145" s="1"/>
      <c r="G145" s="1"/>
      <c r="H145" s="2">
        <v>6.9971856381067397E-3</v>
      </c>
      <c r="I145" s="2"/>
      <c r="J145" s="1"/>
      <c r="K145" s="1"/>
      <c r="L145" s="1"/>
      <c r="M145" s="1"/>
      <c r="N145" s="1"/>
      <c r="O145" s="1">
        <v>1</v>
      </c>
      <c r="P145" s="1"/>
      <c r="Q145" s="1"/>
    </row>
    <row r="146" spans="1:17" x14ac:dyDescent="0.3">
      <c r="B146" s="5" t="s">
        <v>189</v>
      </c>
      <c r="C146" s="1" t="s">
        <v>1</v>
      </c>
      <c r="D146" s="2">
        <v>5.8114254943690997E-2</v>
      </c>
      <c r="E146" s="1"/>
      <c r="F146" s="1"/>
      <c r="G146" s="1"/>
      <c r="H146" s="1"/>
      <c r="I146" s="1"/>
      <c r="J146" s="1"/>
      <c r="K146" s="1">
        <v>2</v>
      </c>
      <c r="L146" s="1"/>
      <c r="M146" s="1"/>
      <c r="N146" s="1"/>
      <c r="O146" s="1"/>
      <c r="P146" s="1"/>
      <c r="Q146" s="1"/>
    </row>
    <row r="147" spans="1:17" x14ac:dyDescent="0.3">
      <c r="B147" s="5" t="s">
        <v>190</v>
      </c>
      <c r="C147" s="1" t="s">
        <v>1</v>
      </c>
      <c r="D147" s="2">
        <v>8.4991042422384897</v>
      </c>
      <c r="E147" s="1"/>
      <c r="F147" s="1"/>
      <c r="G147" s="1"/>
      <c r="H147" s="1"/>
      <c r="I147" s="1"/>
      <c r="J147" s="1"/>
      <c r="K147" s="1">
        <v>118</v>
      </c>
      <c r="L147" s="1"/>
      <c r="M147" s="1"/>
      <c r="N147" s="1"/>
      <c r="O147" s="1"/>
      <c r="P147" s="1"/>
      <c r="Q147" s="1"/>
    </row>
    <row r="148" spans="1:17" x14ac:dyDescent="0.3">
      <c r="A148" s="1" t="s">
        <v>27</v>
      </c>
      <c r="B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3">
      <c r="B149" s="5" t="s">
        <v>191</v>
      </c>
      <c r="C149" s="1" t="s">
        <v>1</v>
      </c>
      <c r="D149" s="1"/>
      <c r="E149" s="1"/>
      <c r="F149" s="2">
        <v>0.14589035232012701</v>
      </c>
      <c r="G149" s="1"/>
      <c r="H149" s="1"/>
      <c r="I149" s="1"/>
      <c r="J149" s="1"/>
      <c r="K149" s="1"/>
      <c r="L149" s="1"/>
      <c r="M149" s="1">
        <v>1</v>
      </c>
      <c r="N149" s="1"/>
      <c r="O149" s="1"/>
      <c r="P149" s="1"/>
      <c r="Q149" s="1"/>
    </row>
    <row r="150" spans="1:17" x14ac:dyDescent="0.3">
      <c r="B150" s="5" t="s">
        <v>192</v>
      </c>
      <c r="C150" s="1" t="s">
        <v>1</v>
      </c>
      <c r="D150" s="2">
        <v>0.46758013589380898</v>
      </c>
      <c r="E150" s="1"/>
      <c r="F150" s="1"/>
      <c r="G150" s="1"/>
      <c r="H150" s="1"/>
      <c r="I150" s="1"/>
      <c r="J150" s="1"/>
      <c r="K150" s="1">
        <v>10</v>
      </c>
      <c r="L150" s="1"/>
      <c r="M150" s="1"/>
      <c r="N150" s="1"/>
      <c r="O150" s="1"/>
      <c r="P150" s="1"/>
      <c r="Q150" s="1"/>
    </row>
    <row r="151" spans="1:17" x14ac:dyDescent="0.3">
      <c r="A151" s="1" t="s">
        <v>28</v>
      </c>
      <c r="B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3">
      <c r="B152" s="5" t="s">
        <v>193</v>
      </c>
      <c r="C152" s="1" t="s">
        <v>1</v>
      </c>
      <c r="D152" s="1"/>
      <c r="E152" s="1"/>
      <c r="F152" s="1"/>
      <c r="G152" s="2">
        <v>7.44219044780967E-3</v>
      </c>
      <c r="H152" s="1"/>
      <c r="I152" s="1"/>
      <c r="J152" s="1"/>
      <c r="K152" s="1"/>
      <c r="L152" s="1"/>
      <c r="M152" s="1"/>
      <c r="N152" s="1">
        <v>1</v>
      </c>
      <c r="O152" s="1"/>
      <c r="P152" s="1"/>
      <c r="Q152" s="1"/>
    </row>
    <row r="153" spans="1:17" x14ac:dyDescent="0.3">
      <c r="B153" s="5" t="s">
        <v>194</v>
      </c>
      <c r="C153" s="1" t="s">
        <v>1</v>
      </c>
      <c r="D153" s="1"/>
      <c r="E153" s="1"/>
      <c r="F153" s="2">
        <v>14.2221132771577</v>
      </c>
      <c r="G153" s="2">
        <v>0.27502623769117002</v>
      </c>
      <c r="H153" s="1"/>
      <c r="I153" s="1"/>
      <c r="J153" s="1"/>
      <c r="K153" s="1"/>
      <c r="L153" s="1"/>
      <c r="M153" s="1">
        <v>95</v>
      </c>
      <c r="N153" s="1">
        <v>7</v>
      </c>
      <c r="O153" s="1"/>
      <c r="P153" s="1"/>
      <c r="Q153" s="1"/>
    </row>
    <row r="154" spans="1:17" x14ac:dyDescent="0.3">
      <c r="B154" s="5" t="s">
        <v>195</v>
      </c>
      <c r="C154" s="1" t="s">
        <v>1</v>
      </c>
      <c r="D154" s="2">
        <v>4.4058578413973502E-3</v>
      </c>
      <c r="E154" s="1"/>
      <c r="F154" s="1"/>
      <c r="G154" s="1"/>
      <c r="H154" s="1"/>
      <c r="I154" s="1"/>
      <c r="J154" s="1"/>
      <c r="K154" s="1">
        <v>1</v>
      </c>
      <c r="L154" s="1"/>
      <c r="M154" s="1"/>
      <c r="N154" s="1"/>
      <c r="O154" s="1"/>
      <c r="P154" s="1"/>
      <c r="Q154" s="1"/>
    </row>
    <row r="155" spans="1:17" x14ac:dyDescent="0.3">
      <c r="B155" s="5" t="s">
        <v>196</v>
      </c>
      <c r="C155" s="1" t="s">
        <v>1</v>
      </c>
      <c r="D155" s="1"/>
      <c r="E155" s="1"/>
      <c r="F155" s="1"/>
      <c r="G155" s="2">
        <v>4.11468374919223E-2</v>
      </c>
      <c r="H155" s="1"/>
      <c r="I155" s="1"/>
      <c r="J155" s="1"/>
      <c r="K155" s="1"/>
      <c r="L155" s="1"/>
      <c r="M155" s="1"/>
      <c r="N155" s="1">
        <v>2</v>
      </c>
      <c r="O155" s="1"/>
      <c r="P155" s="1"/>
      <c r="Q155" s="1"/>
    </row>
    <row r="156" spans="1:17" x14ac:dyDescent="0.3">
      <c r="B156" s="5" t="s">
        <v>197</v>
      </c>
      <c r="C156" s="1" t="s">
        <v>1</v>
      </c>
      <c r="D156" s="2">
        <v>3.04704152053706E-2</v>
      </c>
      <c r="E156" s="2">
        <v>1.46414239869181E-2</v>
      </c>
      <c r="F156" s="1"/>
      <c r="G156" s="1"/>
      <c r="H156" s="2">
        <v>1.7626596298441401E-2</v>
      </c>
      <c r="I156" s="2"/>
      <c r="J156" s="1"/>
      <c r="K156" s="1">
        <v>2</v>
      </c>
      <c r="L156" s="1">
        <v>2</v>
      </c>
      <c r="M156" s="1"/>
      <c r="N156" s="1"/>
      <c r="O156" s="1">
        <v>1</v>
      </c>
      <c r="P156" s="1"/>
      <c r="Q156" s="1"/>
    </row>
    <row r="157" spans="1:17" x14ac:dyDescent="0.3">
      <c r="B157" s="5" t="s">
        <v>198</v>
      </c>
      <c r="C157" s="1" t="s">
        <v>1</v>
      </c>
      <c r="D157" s="2">
        <v>7.4148802581131906E-2</v>
      </c>
      <c r="E157" s="1"/>
      <c r="F157" s="1"/>
      <c r="G157" s="1"/>
      <c r="H157" s="1"/>
      <c r="I157" s="1"/>
      <c r="J157" s="1"/>
      <c r="K157" s="1">
        <v>2</v>
      </c>
      <c r="L157" s="1"/>
      <c r="M157" s="1"/>
      <c r="N157" s="1"/>
      <c r="O157" s="1"/>
      <c r="P157" s="1"/>
      <c r="Q157" s="1"/>
    </row>
    <row r="158" spans="1:17" x14ac:dyDescent="0.3">
      <c r="B158" s="5" t="s">
        <v>199</v>
      </c>
      <c r="C158" s="1" t="s">
        <v>1</v>
      </c>
      <c r="D158" s="1"/>
      <c r="E158" s="2">
        <v>3.7593710447925202</v>
      </c>
      <c r="F158" s="1"/>
      <c r="G158" s="1"/>
      <c r="H158" s="1"/>
      <c r="I158" s="1"/>
      <c r="J158" s="1"/>
      <c r="K158" s="1"/>
      <c r="L158" s="1">
        <v>5</v>
      </c>
      <c r="M158" s="1"/>
      <c r="N158" s="1"/>
      <c r="O158" s="1"/>
      <c r="P158" s="1"/>
      <c r="Q158" s="1"/>
    </row>
    <row r="159" spans="1:17" x14ac:dyDescent="0.3">
      <c r="B159" s="5" t="s">
        <v>200</v>
      </c>
      <c r="C159" s="1" t="s">
        <v>1</v>
      </c>
      <c r="D159" s="1"/>
      <c r="E159" s="2">
        <v>0.96580545319774802</v>
      </c>
      <c r="F159" s="1"/>
      <c r="G159" s="1"/>
      <c r="H159" s="1"/>
      <c r="I159" s="1"/>
      <c r="J159" s="1"/>
      <c r="K159" s="1"/>
      <c r="L159" s="1">
        <v>8</v>
      </c>
      <c r="M159" s="1"/>
      <c r="N159" s="1"/>
      <c r="O159" s="1"/>
      <c r="P159" s="1"/>
      <c r="Q159" s="1"/>
    </row>
    <row r="160" spans="1:17" x14ac:dyDescent="0.3">
      <c r="B160" s="5" t="s">
        <v>201</v>
      </c>
      <c r="C160" s="1" t="s">
        <v>1</v>
      </c>
      <c r="D160" s="1"/>
      <c r="E160" s="1"/>
      <c r="F160" s="1"/>
      <c r="G160" s="1"/>
      <c r="H160" s="2">
        <v>2.09173025783101</v>
      </c>
      <c r="I160" s="2"/>
      <c r="J160" s="1"/>
      <c r="K160" s="1"/>
      <c r="L160" s="1"/>
      <c r="M160" s="1"/>
      <c r="N160" s="1"/>
      <c r="O160" s="1">
        <v>23</v>
      </c>
      <c r="P160" s="1"/>
      <c r="Q160" s="1"/>
    </row>
    <row r="161" spans="2:17" x14ac:dyDescent="0.3">
      <c r="B161" s="5" t="s">
        <v>202</v>
      </c>
      <c r="C161" s="1" t="s">
        <v>1</v>
      </c>
      <c r="D161" s="1"/>
      <c r="E161" s="2">
        <v>0.12870623084735</v>
      </c>
      <c r="F161" s="1"/>
      <c r="G161" s="1"/>
      <c r="H161" s="2">
        <v>9.1469631434938602E-3</v>
      </c>
      <c r="I161" s="2"/>
      <c r="J161" s="1"/>
      <c r="K161" s="1"/>
      <c r="L161" s="1">
        <v>1</v>
      </c>
      <c r="M161" s="1"/>
      <c r="N161" s="1"/>
      <c r="O161" s="1">
        <v>1</v>
      </c>
      <c r="P161" s="1"/>
      <c r="Q161" s="1"/>
    </row>
    <row r="162" spans="2:17" x14ac:dyDescent="0.3">
      <c r="B162" s="5" t="s">
        <v>203</v>
      </c>
      <c r="C162" s="1" t="s">
        <v>1</v>
      </c>
      <c r="D162" s="2">
        <v>0.125021736022153</v>
      </c>
      <c r="E162" s="2">
        <v>0.972052440557724</v>
      </c>
      <c r="F162" s="2">
        <v>0.35575698058815303</v>
      </c>
      <c r="G162" s="2">
        <v>3.5829741779666698E-2</v>
      </c>
      <c r="H162" s="2">
        <v>2.8753266483973601</v>
      </c>
      <c r="I162" s="2"/>
      <c r="J162" s="1"/>
      <c r="K162" s="1">
        <v>1</v>
      </c>
      <c r="L162" s="1">
        <v>6</v>
      </c>
      <c r="M162" s="1">
        <v>9</v>
      </c>
      <c r="N162" s="1">
        <v>3</v>
      </c>
      <c r="O162" s="1">
        <v>23</v>
      </c>
      <c r="P162" s="1"/>
      <c r="Q162" s="1"/>
    </row>
    <row r="163" spans="2:17" x14ac:dyDescent="0.3">
      <c r="B163" s="5" t="s">
        <v>204</v>
      </c>
      <c r="C163" s="1" t="s">
        <v>1</v>
      </c>
      <c r="D163" s="2">
        <v>0.295555739125759</v>
      </c>
      <c r="E163" s="1"/>
      <c r="F163" s="1"/>
      <c r="G163" s="1"/>
      <c r="H163" s="1"/>
      <c r="I163" s="1"/>
      <c r="J163" s="1"/>
      <c r="K163" s="1">
        <v>18</v>
      </c>
      <c r="L163" s="1"/>
      <c r="M163" s="1"/>
      <c r="N163" s="1"/>
      <c r="O163" s="1"/>
      <c r="P163" s="1"/>
      <c r="Q163" s="1"/>
    </row>
    <row r="164" spans="2:17" x14ac:dyDescent="0.3">
      <c r="B164" s="5" t="s">
        <v>205</v>
      </c>
      <c r="C164" s="1" t="s">
        <v>1</v>
      </c>
      <c r="D164" s="1"/>
      <c r="E164" s="2">
        <v>1.1957468061273899</v>
      </c>
      <c r="F164" s="1"/>
      <c r="G164" s="1"/>
      <c r="H164" s="2">
        <v>1.7884402055803399</v>
      </c>
      <c r="I164" s="2"/>
      <c r="J164" s="1"/>
      <c r="K164" s="1"/>
      <c r="L164" s="1">
        <v>9</v>
      </c>
      <c r="M164" s="1"/>
      <c r="N164" s="1"/>
      <c r="O164" s="1">
        <v>21</v>
      </c>
      <c r="P164" s="1"/>
      <c r="Q164" s="1"/>
    </row>
    <row r="165" spans="2:17" x14ac:dyDescent="0.3">
      <c r="B165" s="5" t="s">
        <v>206</v>
      </c>
      <c r="C165" s="1" t="s">
        <v>1</v>
      </c>
      <c r="D165" s="1"/>
      <c r="E165" s="2">
        <v>5.334273997805</v>
      </c>
      <c r="F165" s="1"/>
      <c r="G165" s="1"/>
      <c r="H165" s="2">
        <v>1.8013386484571201</v>
      </c>
      <c r="I165" s="2"/>
      <c r="J165" s="1"/>
      <c r="K165" s="1"/>
      <c r="L165" s="1">
        <v>9</v>
      </c>
      <c r="M165" s="1"/>
      <c r="N165" s="1"/>
      <c r="O165" s="1">
        <v>14</v>
      </c>
      <c r="P165" s="1"/>
      <c r="Q165" s="1"/>
    </row>
    <row r="166" spans="2:17" x14ac:dyDescent="0.3">
      <c r="B166" s="5" t="s">
        <v>207</v>
      </c>
      <c r="C166" s="1" t="s">
        <v>1</v>
      </c>
      <c r="D166" s="1"/>
      <c r="E166" s="1"/>
      <c r="F166" s="2">
        <v>0.21711651236795401</v>
      </c>
      <c r="G166" s="1"/>
      <c r="H166" s="2">
        <v>0.31847198665211301</v>
      </c>
      <c r="I166" s="2"/>
      <c r="J166" s="1"/>
      <c r="K166" s="1"/>
      <c r="L166" s="1"/>
      <c r="M166" s="1">
        <v>6</v>
      </c>
      <c r="N166" s="1"/>
      <c r="O166" s="1">
        <v>11</v>
      </c>
      <c r="P166" s="1"/>
      <c r="Q166" s="1"/>
    </row>
    <row r="167" spans="2:17" x14ac:dyDescent="0.3">
      <c r="B167" s="5" t="s">
        <v>208</v>
      </c>
      <c r="C167" s="1" t="s">
        <v>1</v>
      </c>
      <c r="D167" s="2">
        <v>18.7146730577652</v>
      </c>
      <c r="E167" s="2">
        <v>0.67987024688366504</v>
      </c>
      <c r="F167" s="1"/>
      <c r="G167" s="1"/>
      <c r="H167" s="1"/>
      <c r="I167" s="1"/>
      <c r="J167" s="1"/>
      <c r="K167" s="1">
        <v>118</v>
      </c>
      <c r="L167" s="1">
        <v>2</v>
      </c>
      <c r="M167" s="1"/>
      <c r="N167" s="1"/>
      <c r="O167" s="1"/>
      <c r="P167" s="1"/>
      <c r="Q167" s="1"/>
    </row>
    <row r="168" spans="2:17" x14ac:dyDescent="0.3">
      <c r="B168" s="5" t="s">
        <v>209</v>
      </c>
      <c r="C168" s="1" t="s">
        <v>1</v>
      </c>
      <c r="D168" s="1"/>
      <c r="E168" s="1"/>
      <c r="F168" s="2">
        <v>4.2260823404450303E-2</v>
      </c>
      <c r="G168" s="2">
        <v>5.9270072449737199E-2</v>
      </c>
      <c r="H168" s="2">
        <v>0.40051695169842999</v>
      </c>
      <c r="I168" s="2"/>
      <c r="J168" s="1"/>
      <c r="K168" s="1"/>
      <c r="L168" s="1"/>
      <c r="M168" s="1">
        <v>2</v>
      </c>
      <c r="N168" s="1">
        <v>8</v>
      </c>
      <c r="O168" s="1">
        <v>6</v>
      </c>
      <c r="P168" s="1"/>
      <c r="Q168" s="1"/>
    </row>
    <row r="169" spans="2:17" x14ac:dyDescent="0.3">
      <c r="B169" s="5" t="s">
        <v>210</v>
      </c>
      <c r="C169" s="1" t="s">
        <v>1</v>
      </c>
      <c r="D169" s="1"/>
      <c r="E169" s="2">
        <v>3.0473785352581602</v>
      </c>
      <c r="F169" s="2">
        <v>6.8589466758608103E-3</v>
      </c>
      <c r="G169" s="1"/>
      <c r="H169" s="1"/>
      <c r="I169" s="1"/>
      <c r="J169" s="1"/>
      <c r="K169" s="1"/>
      <c r="L169" s="1">
        <v>22</v>
      </c>
      <c r="M169" s="1">
        <v>1</v>
      </c>
      <c r="N169" s="1"/>
      <c r="O169" s="1"/>
      <c r="P169" s="1"/>
      <c r="Q169" s="1"/>
    </row>
    <row r="170" spans="2:17" x14ac:dyDescent="0.3">
      <c r="B170" s="5" t="s">
        <v>211</v>
      </c>
      <c r="C170" s="1" t="s">
        <v>1</v>
      </c>
      <c r="D170" s="2">
        <v>10.9928034817233</v>
      </c>
      <c r="E170" s="1"/>
      <c r="F170" s="1"/>
      <c r="G170" s="1"/>
      <c r="H170" s="1"/>
      <c r="I170" s="1"/>
      <c r="J170" s="1"/>
      <c r="K170" s="1">
        <v>69</v>
      </c>
      <c r="L170" s="1"/>
      <c r="M170" s="1"/>
      <c r="N170" s="1"/>
      <c r="O170" s="1"/>
      <c r="P170" s="1"/>
      <c r="Q170" s="1"/>
    </row>
    <row r="171" spans="2:17" x14ac:dyDescent="0.3">
      <c r="B171" s="5" t="s">
        <v>212</v>
      </c>
      <c r="C171" s="1" t="s">
        <v>1</v>
      </c>
      <c r="D171" s="2">
        <v>3.0262886500306101E-2</v>
      </c>
      <c r="E171" s="1"/>
      <c r="F171" s="1"/>
      <c r="G171" s="1"/>
      <c r="H171" s="2">
        <v>5.6771993256371804E-3</v>
      </c>
      <c r="I171" s="2"/>
      <c r="J171" s="1"/>
      <c r="K171" s="1">
        <v>3</v>
      </c>
      <c r="L171" s="1"/>
      <c r="M171" s="1"/>
      <c r="N171" s="1"/>
      <c r="O171" s="1">
        <v>1</v>
      </c>
      <c r="P171" s="1"/>
      <c r="Q171" s="1"/>
    </row>
    <row r="172" spans="2:17" x14ac:dyDescent="0.3">
      <c r="B172" s="5" t="s">
        <v>213</v>
      </c>
      <c r="C172" s="1" t="s">
        <v>1</v>
      </c>
      <c r="D172" s="1"/>
      <c r="E172" s="2">
        <v>8.1220501125013306E-2</v>
      </c>
      <c r="F172" s="1"/>
      <c r="G172" s="1"/>
      <c r="H172" s="1"/>
      <c r="I172" s="1"/>
      <c r="J172" s="1"/>
      <c r="K172" s="1"/>
      <c r="L172" s="1">
        <v>2</v>
      </c>
      <c r="M172" s="1"/>
      <c r="N172" s="1"/>
      <c r="O172" s="1"/>
      <c r="P172" s="1"/>
      <c r="Q172" s="1"/>
    </row>
    <row r="173" spans="2:17" x14ac:dyDescent="0.3">
      <c r="B173" s="5" t="s">
        <v>214</v>
      </c>
      <c r="C173" s="1" t="s">
        <v>1</v>
      </c>
      <c r="D173" s="2">
        <v>18.136192175016301</v>
      </c>
      <c r="E173" s="1"/>
      <c r="F173" s="2">
        <v>0.43992464908697299</v>
      </c>
      <c r="G173" s="2">
        <v>4.3729509024224801E-3</v>
      </c>
      <c r="H173" s="1"/>
      <c r="I173" s="1"/>
      <c r="J173" s="1"/>
      <c r="K173" s="1">
        <v>42</v>
      </c>
      <c r="L173" s="1"/>
      <c r="M173" s="1">
        <v>6</v>
      </c>
      <c r="N173" s="1">
        <v>1</v>
      </c>
      <c r="O173" s="1"/>
      <c r="P173" s="1"/>
      <c r="Q173" s="1"/>
    </row>
    <row r="174" spans="2:17" x14ac:dyDescent="0.3">
      <c r="B174" s="5" t="s">
        <v>215</v>
      </c>
      <c r="C174" s="1" t="s">
        <v>1</v>
      </c>
      <c r="D174" s="1"/>
      <c r="E174" s="2">
        <v>0.25672486141670797</v>
      </c>
      <c r="F174" s="2">
        <v>5.6206339109708701</v>
      </c>
      <c r="G174" s="2">
        <v>0.55162676915759501</v>
      </c>
      <c r="H174" s="2">
        <v>5.6114229379038099</v>
      </c>
      <c r="I174" s="2">
        <f>J174/0.5</f>
        <v>4.6642580905971203</v>
      </c>
      <c r="J174" s="2">
        <v>2.3321290452985601</v>
      </c>
      <c r="K174" s="1"/>
      <c r="L174" s="1">
        <v>1</v>
      </c>
      <c r="M174" s="1">
        <v>72</v>
      </c>
      <c r="N174" s="1">
        <v>18</v>
      </c>
      <c r="O174" s="1">
        <v>79</v>
      </c>
      <c r="P174" s="1">
        <f>Q174/0.5</f>
        <v>140</v>
      </c>
      <c r="Q174" s="1">
        <v>70</v>
      </c>
    </row>
    <row r="175" spans="2:17" x14ac:dyDescent="0.3">
      <c r="B175" s="5" t="s">
        <v>216</v>
      </c>
      <c r="C175" s="1" t="s">
        <v>1</v>
      </c>
      <c r="D175" s="1"/>
      <c r="E175" s="2">
        <v>0.60741578991567902</v>
      </c>
      <c r="F175" s="1"/>
      <c r="G175" s="1"/>
      <c r="H175" s="2">
        <v>0.19040362919567499</v>
      </c>
      <c r="I175" s="2"/>
      <c r="J175" s="1"/>
      <c r="K175" s="1"/>
      <c r="L175" s="1">
        <v>6</v>
      </c>
      <c r="M175" s="1"/>
      <c r="N175" s="1"/>
      <c r="O175" s="1">
        <v>4</v>
      </c>
      <c r="P175" s="1"/>
      <c r="Q175" s="1"/>
    </row>
    <row r="176" spans="2:17" x14ac:dyDescent="0.3">
      <c r="B176" s="5" t="s">
        <v>217</v>
      </c>
      <c r="C176" s="1" t="s">
        <v>1</v>
      </c>
      <c r="D176" s="2">
        <v>0.99811363085492799</v>
      </c>
      <c r="E176" s="1"/>
      <c r="F176" s="1"/>
      <c r="G176" s="1"/>
      <c r="H176" s="1"/>
      <c r="I176" s="1"/>
      <c r="J176" s="1"/>
      <c r="K176" s="1">
        <v>9</v>
      </c>
      <c r="L176" s="1"/>
      <c r="M176" s="1"/>
      <c r="N176" s="1"/>
      <c r="O176" s="1"/>
      <c r="P176" s="1"/>
      <c r="Q176" s="1"/>
    </row>
    <row r="177" spans="1:17" x14ac:dyDescent="0.3">
      <c r="B177" s="5" t="s">
        <v>218</v>
      </c>
      <c r="C177" s="1" t="s">
        <v>1</v>
      </c>
      <c r="D177" s="1"/>
      <c r="E177" s="2">
        <v>0.89091560430436201</v>
      </c>
      <c r="F177" s="1"/>
      <c r="G177" s="1"/>
      <c r="H177" s="1"/>
      <c r="I177" s="1"/>
      <c r="J177" s="1"/>
      <c r="K177" s="1"/>
      <c r="L177" s="1">
        <v>1</v>
      </c>
      <c r="M177" s="1"/>
      <c r="N177" s="1"/>
      <c r="O177" s="1"/>
      <c r="P177" s="1"/>
      <c r="Q177" s="1"/>
    </row>
    <row r="178" spans="1:17" x14ac:dyDescent="0.3">
      <c r="B178" s="5" t="s">
        <v>219</v>
      </c>
      <c r="C178" s="1" t="s">
        <v>1</v>
      </c>
      <c r="D178" s="1"/>
      <c r="E178" s="1"/>
      <c r="F178" s="2">
        <v>0.55581071891649902</v>
      </c>
      <c r="G178" s="1"/>
      <c r="H178" s="1"/>
      <c r="I178" s="1"/>
      <c r="J178" s="1"/>
      <c r="K178" s="1"/>
      <c r="L178" s="1"/>
      <c r="M178" s="1">
        <v>1</v>
      </c>
      <c r="N178" s="1"/>
      <c r="O178" s="1"/>
      <c r="P178" s="1"/>
      <c r="Q178" s="1"/>
    </row>
    <row r="179" spans="1:17" x14ac:dyDescent="0.3">
      <c r="B179" s="5" t="s">
        <v>220</v>
      </c>
      <c r="C179" s="1" t="s">
        <v>1</v>
      </c>
      <c r="D179" s="1"/>
      <c r="E179" s="1"/>
      <c r="F179" s="1"/>
      <c r="G179" s="2">
        <v>2.14040872413154E-2</v>
      </c>
      <c r="H179" s="1"/>
      <c r="I179" s="1"/>
      <c r="J179" s="1"/>
      <c r="K179" s="1"/>
      <c r="L179" s="1"/>
      <c r="M179" s="1"/>
      <c r="N179" s="1">
        <v>2</v>
      </c>
      <c r="O179" s="1"/>
      <c r="P179" s="1"/>
      <c r="Q179" s="1"/>
    </row>
    <row r="180" spans="1:17" x14ac:dyDescent="0.3">
      <c r="B180" s="5" t="s">
        <v>221</v>
      </c>
      <c r="C180" s="1" t="s">
        <v>1</v>
      </c>
      <c r="D180" s="2">
        <v>0.477558990814821</v>
      </c>
      <c r="E180" s="1"/>
      <c r="F180" s="1"/>
      <c r="G180" s="1"/>
      <c r="H180" s="1"/>
      <c r="I180" s="1"/>
      <c r="J180" s="1"/>
      <c r="K180" s="1">
        <v>2</v>
      </c>
      <c r="L180" s="1"/>
      <c r="M180" s="1"/>
      <c r="N180" s="1"/>
      <c r="O180" s="1"/>
      <c r="P180" s="1"/>
      <c r="Q180" s="1"/>
    </row>
    <row r="181" spans="1:17" x14ac:dyDescent="0.3">
      <c r="B181" s="5" t="s">
        <v>222</v>
      </c>
      <c r="C181" s="1" t="s">
        <v>1</v>
      </c>
      <c r="D181" s="1"/>
      <c r="E181" s="2">
        <v>2.41769307576077</v>
      </c>
      <c r="F181" s="2">
        <v>0.45522834615279001</v>
      </c>
      <c r="G181" s="1"/>
      <c r="H181" s="2">
        <v>2.46891699349468</v>
      </c>
      <c r="I181" s="2"/>
      <c r="J181" s="1"/>
      <c r="K181" s="1"/>
      <c r="L181" s="1">
        <v>1</v>
      </c>
      <c r="M181" s="1">
        <v>3</v>
      </c>
      <c r="N181" s="1"/>
      <c r="O181" s="1">
        <v>5</v>
      </c>
      <c r="P181" s="1"/>
      <c r="Q181" s="1"/>
    </row>
    <row r="182" spans="1:17" x14ac:dyDescent="0.3">
      <c r="A182" s="1" t="s">
        <v>29</v>
      </c>
      <c r="B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3">
      <c r="B183" s="5" t="s">
        <v>223</v>
      </c>
      <c r="C183" s="1" t="s">
        <v>1</v>
      </c>
      <c r="D183" s="2">
        <v>3.5897391231814998E-2</v>
      </c>
      <c r="E183" s="1"/>
      <c r="F183" s="1"/>
      <c r="G183" s="1"/>
      <c r="H183" s="1"/>
      <c r="I183" s="1"/>
      <c r="J183" s="1"/>
      <c r="K183" s="1">
        <v>3</v>
      </c>
      <c r="L183" s="1"/>
      <c r="M183" s="1"/>
      <c r="N183" s="1"/>
      <c r="O183" s="1"/>
      <c r="P183" s="1"/>
      <c r="Q183" s="1"/>
    </row>
    <row r="184" spans="1:17" x14ac:dyDescent="0.3">
      <c r="A184" s="1" t="s">
        <v>30</v>
      </c>
      <c r="B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3">
      <c r="B185" s="5" t="s">
        <v>224</v>
      </c>
      <c r="C185" s="1" t="s">
        <v>1</v>
      </c>
      <c r="D185" s="1"/>
      <c r="E185" s="1"/>
      <c r="F185" s="1"/>
      <c r="G185" s="1"/>
      <c r="H185" s="2">
        <v>8.3193852975890294</v>
      </c>
      <c r="I185" s="2"/>
      <c r="J185" s="1"/>
      <c r="K185" s="1"/>
      <c r="L185" s="1"/>
      <c r="M185" s="1"/>
      <c r="N185" s="1"/>
      <c r="O185" s="1">
        <v>119</v>
      </c>
      <c r="P185" s="1"/>
      <c r="Q185" s="1"/>
    </row>
    <row r="186" spans="1:17" x14ac:dyDescent="0.3">
      <c r="A186" s="1" t="s">
        <v>31</v>
      </c>
      <c r="B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3">
      <c r="B187" s="5" t="s">
        <v>225</v>
      </c>
      <c r="C187" s="1" t="s">
        <v>1</v>
      </c>
      <c r="D187" s="2">
        <v>0.35164058924132802</v>
      </c>
      <c r="E187" s="1"/>
      <c r="F187" s="1"/>
      <c r="G187" s="1"/>
      <c r="H187" s="1"/>
      <c r="I187" s="1"/>
      <c r="J187" s="1"/>
      <c r="K187" s="1">
        <v>3</v>
      </c>
      <c r="L187" s="1"/>
      <c r="M187" s="1"/>
      <c r="N187" s="1"/>
      <c r="O187" s="1"/>
      <c r="P187" s="1"/>
      <c r="Q187" s="1"/>
    </row>
    <row r="188" spans="1:17" x14ac:dyDescent="0.3">
      <c r="A188" s="1" t="s">
        <v>32</v>
      </c>
      <c r="B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3">
      <c r="B189" s="5" t="s">
        <v>226</v>
      </c>
      <c r="C189" s="1" t="s">
        <v>1</v>
      </c>
      <c r="D189" s="1"/>
      <c r="E189" s="2">
        <v>0.42179061376348997</v>
      </c>
      <c r="F189" s="1"/>
      <c r="G189" s="1"/>
      <c r="H189" s="1"/>
      <c r="I189" s="1"/>
      <c r="J189" s="1"/>
      <c r="K189" s="1"/>
      <c r="L189" s="1">
        <v>1</v>
      </c>
      <c r="M189" s="1"/>
      <c r="N189" s="1"/>
      <c r="O189" s="1"/>
      <c r="P189" s="1"/>
      <c r="Q189" s="1"/>
    </row>
    <row r="190" spans="1:17" x14ac:dyDescent="0.3">
      <c r="B190" s="5" t="s">
        <v>227</v>
      </c>
      <c r="C190" s="1" t="s">
        <v>1</v>
      </c>
      <c r="D190" s="2">
        <v>3.36477914449187</v>
      </c>
      <c r="E190" s="2">
        <v>3.4828683378588902E-2</v>
      </c>
      <c r="F190" s="1"/>
      <c r="G190" s="1"/>
      <c r="H190" s="1"/>
      <c r="I190" s="1"/>
      <c r="J190" s="1"/>
      <c r="K190" s="1">
        <v>203</v>
      </c>
      <c r="L190" s="1">
        <v>1</v>
      </c>
      <c r="M190" s="1"/>
      <c r="N190" s="1"/>
      <c r="O190" s="1"/>
      <c r="P190" s="1"/>
      <c r="Q190" s="1"/>
    </row>
    <row r="191" spans="1:17" x14ac:dyDescent="0.3">
      <c r="B191" s="5" t="s">
        <v>228</v>
      </c>
      <c r="C191" s="1" t="s">
        <v>1</v>
      </c>
      <c r="D191" s="2">
        <v>7.8598832161001999</v>
      </c>
      <c r="E191" s="2">
        <v>15.009292540212</v>
      </c>
      <c r="F191" s="1"/>
      <c r="G191" s="1"/>
      <c r="H191" s="1"/>
      <c r="I191" s="1"/>
      <c r="J191" s="1"/>
      <c r="K191" s="1">
        <v>46</v>
      </c>
      <c r="L191" s="1">
        <v>37</v>
      </c>
      <c r="M191" s="1"/>
      <c r="N191" s="1"/>
      <c r="O191" s="1"/>
      <c r="P191" s="1"/>
      <c r="Q191" s="1"/>
    </row>
    <row r="192" spans="1:17" x14ac:dyDescent="0.3">
      <c r="B192" s="5" t="s">
        <v>229</v>
      </c>
      <c r="C192" s="1" t="s">
        <v>1</v>
      </c>
      <c r="D192" s="1"/>
      <c r="E192" s="2">
        <v>4.8784161493015503E-3</v>
      </c>
      <c r="F192" s="1"/>
      <c r="G192" s="1"/>
      <c r="H192" s="1"/>
      <c r="I192" s="1"/>
      <c r="J192" s="1"/>
      <c r="K192" s="1"/>
      <c r="L192" s="1">
        <v>1</v>
      </c>
      <c r="M192" s="1"/>
      <c r="N192" s="1"/>
      <c r="O192" s="1"/>
      <c r="P192" s="1"/>
      <c r="Q192" s="1"/>
    </row>
    <row r="193" spans="1:17" x14ac:dyDescent="0.3">
      <c r="A193" s="1" t="s">
        <v>33</v>
      </c>
      <c r="B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">
      <c r="B194" s="5" t="s">
        <v>230</v>
      </c>
      <c r="C194" s="1" t="s">
        <v>1</v>
      </c>
      <c r="D194" s="1"/>
      <c r="E194" s="1"/>
      <c r="F194" s="1"/>
      <c r="G194" s="1"/>
      <c r="H194" s="1"/>
      <c r="I194" s="2">
        <f>J194/0.5</f>
        <v>0.13481694405696359</v>
      </c>
      <c r="J194" s="2">
        <v>6.7408472028481797E-2</v>
      </c>
      <c r="K194" s="1"/>
      <c r="L194" s="1"/>
      <c r="M194" s="1"/>
      <c r="N194" s="1"/>
      <c r="O194" s="1"/>
      <c r="P194" s="1">
        <f>Q194/0.5</f>
        <v>14</v>
      </c>
      <c r="Q194" s="1">
        <v>7</v>
      </c>
    </row>
    <row r="195" spans="1:17" x14ac:dyDescent="0.3">
      <c r="B195" s="5" t="s">
        <v>231</v>
      </c>
      <c r="C195" s="1" t="s">
        <v>1</v>
      </c>
      <c r="D195" s="1"/>
      <c r="E195" s="1"/>
      <c r="F195" s="2">
        <v>6.5123637298180104E-2</v>
      </c>
      <c r="G195" s="2">
        <v>0.70448234249639796</v>
      </c>
      <c r="H195" s="1"/>
      <c r="I195" s="1"/>
      <c r="J195" s="1"/>
      <c r="K195" s="1"/>
      <c r="L195" s="1"/>
      <c r="M195" s="1">
        <v>6</v>
      </c>
      <c r="N195" s="1">
        <v>40</v>
      </c>
      <c r="O195" s="1"/>
      <c r="P195" s="1"/>
      <c r="Q195" s="1"/>
    </row>
    <row r="196" spans="1:17" x14ac:dyDescent="0.3">
      <c r="B196" s="5" t="s">
        <v>232</v>
      </c>
      <c r="C196" s="1" t="s">
        <v>1</v>
      </c>
      <c r="D196" s="1"/>
      <c r="E196" s="2">
        <v>3.2413332126686997E-2</v>
      </c>
      <c r="F196" s="1"/>
      <c r="G196" s="1"/>
      <c r="H196" s="1"/>
      <c r="I196" s="1"/>
      <c r="J196" s="1"/>
      <c r="K196" s="1"/>
      <c r="L196" s="1">
        <v>1</v>
      </c>
      <c r="M196" s="1"/>
      <c r="N196" s="1"/>
      <c r="O196" s="1"/>
      <c r="P196" s="1"/>
      <c r="Q196" s="1"/>
    </row>
    <row r="197" spans="1:17" x14ac:dyDescent="0.3">
      <c r="B197" s="5" t="s">
        <v>233</v>
      </c>
      <c r="C197" s="1" t="s">
        <v>1</v>
      </c>
      <c r="D197" s="1"/>
      <c r="E197" s="2">
        <v>7.1813237826636603E-3</v>
      </c>
      <c r="F197" s="1"/>
      <c r="G197" s="1"/>
      <c r="H197" s="1"/>
      <c r="I197" s="1"/>
      <c r="J197" s="1"/>
      <c r="K197" s="1"/>
      <c r="L197" s="1">
        <v>1</v>
      </c>
      <c r="M197" s="1"/>
      <c r="N197" s="1"/>
      <c r="O197" s="1"/>
      <c r="P197" s="1"/>
      <c r="Q197" s="1"/>
    </row>
    <row r="198" spans="1:17" x14ac:dyDescent="0.3">
      <c r="B198" s="5" t="s">
        <v>234</v>
      </c>
      <c r="C198" s="1" t="s">
        <v>1</v>
      </c>
      <c r="D198" s="1"/>
      <c r="E198" s="1"/>
      <c r="F198" s="1"/>
      <c r="G198" s="1"/>
      <c r="H198" s="2">
        <v>1.25758785670729</v>
      </c>
      <c r="I198" s="2"/>
      <c r="J198" s="1"/>
      <c r="K198" s="1"/>
      <c r="L198" s="1"/>
      <c r="M198" s="1"/>
      <c r="N198" s="1"/>
      <c r="O198" s="1">
        <v>27</v>
      </c>
      <c r="P198" s="1"/>
      <c r="Q198" s="1"/>
    </row>
    <row r="199" spans="1:17" x14ac:dyDescent="0.3">
      <c r="B199" s="5" t="s">
        <v>235</v>
      </c>
      <c r="C199" s="1" t="s">
        <v>1</v>
      </c>
      <c r="D199" s="1"/>
      <c r="E199" s="2">
        <v>2.4736496852872599E-2</v>
      </c>
      <c r="F199" s="1"/>
      <c r="G199" s="1"/>
      <c r="H199" s="1"/>
      <c r="I199" s="1"/>
      <c r="J199" s="1"/>
      <c r="K199" s="1"/>
      <c r="L199" s="1">
        <v>3</v>
      </c>
      <c r="M199" s="1"/>
      <c r="N199" s="1"/>
      <c r="O199" s="1"/>
      <c r="P199" s="1"/>
      <c r="Q199" s="1"/>
    </row>
    <row r="200" spans="1:17" x14ac:dyDescent="0.3">
      <c r="B200" s="5" t="s">
        <v>236</v>
      </c>
      <c r="C200" s="1" t="s">
        <v>1</v>
      </c>
      <c r="D200" s="1"/>
      <c r="E200" s="1"/>
      <c r="F200" s="1"/>
      <c r="G200" s="1"/>
      <c r="H200" s="2">
        <v>9.5042735013693605E-2</v>
      </c>
      <c r="I200" s="2"/>
      <c r="J200" s="1"/>
      <c r="K200" s="1"/>
      <c r="L200" s="1"/>
      <c r="M200" s="1"/>
      <c r="N200" s="1"/>
      <c r="O200" s="1">
        <v>5</v>
      </c>
      <c r="P200" s="1"/>
      <c r="Q200" s="1"/>
    </row>
    <row r="201" spans="1:17" x14ac:dyDescent="0.3">
      <c r="B201" s="5" t="s">
        <v>237</v>
      </c>
      <c r="C201" s="1" t="s">
        <v>1</v>
      </c>
      <c r="D201" s="1"/>
      <c r="E201" s="1"/>
      <c r="F201" s="1"/>
      <c r="G201" s="1"/>
      <c r="H201" s="2">
        <v>0.114412945589665</v>
      </c>
      <c r="I201" s="2"/>
      <c r="J201" s="1"/>
      <c r="K201" s="1"/>
      <c r="L201" s="1"/>
      <c r="M201" s="1"/>
      <c r="N201" s="1"/>
      <c r="O201" s="1">
        <v>5</v>
      </c>
      <c r="P201" s="1"/>
      <c r="Q201" s="1"/>
    </row>
    <row r="202" spans="1:17" x14ac:dyDescent="0.3">
      <c r="B202" s="5" t="s">
        <v>238</v>
      </c>
      <c r="C202" s="1" t="s">
        <v>1</v>
      </c>
      <c r="D202" s="2">
        <v>6.9558162191665296E-3</v>
      </c>
      <c r="E202" s="1"/>
      <c r="F202" s="1"/>
      <c r="G202" s="1"/>
      <c r="H202" s="1"/>
      <c r="I202" s="1"/>
      <c r="J202" s="1"/>
      <c r="K202" s="1">
        <v>1</v>
      </c>
      <c r="L202" s="1"/>
      <c r="M202" s="1"/>
      <c r="N202" s="1"/>
      <c r="O202" s="1"/>
      <c r="P202" s="1"/>
      <c r="Q202" s="1"/>
    </row>
    <row r="203" spans="1:17" x14ac:dyDescent="0.3">
      <c r="B203" s="5" t="s">
        <v>239</v>
      </c>
      <c r="C203" s="1" t="s">
        <v>1</v>
      </c>
      <c r="D203" s="1"/>
      <c r="E203" s="2">
        <v>7.0059803325817098E-3</v>
      </c>
      <c r="F203" s="1"/>
      <c r="G203" s="1"/>
      <c r="H203" s="1"/>
      <c r="I203" s="1"/>
      <c r="J203" s="1"/>
      <c r="K203" s="1"/>
      <c r="L203" s="1">
        <v>1</v>
      </c>
      <c r="M203" s="1"/>
      <c r="N203" s="1"/>
      <c r="O203" s="1"/>
      <c r="P203" s="1"/>
      <c r="Q203" s="1"/>
    </row>
    <row r="204" spans="1:17" x14ac:dyDescent="0.3">
      <c r="A204" s="1" t="s">
        <v>34</v>
      </c>
      <c r="B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3">
      <c r="B205" s="5" t="s">
        <v>240</v>
      </c>
      <c r="C205" s="1" t="s">
        <v>1</v>
      </c>
      <c r="D205" s="2">
        <v>4.4741372680529801E-2</v>
      </c>
      <c r="E205" s="2">
        <v>0.65341357945949397</v>
      </c>
      <c r="F205" s="1"/>
      <c r="G205" s="1"/>
      <c r="H205" s="2">
        <v>9.2676466234795696E-2</v>
      </c>
      <c r="I205" s="2"/>
      <c r="J205" s="1"/>
      <c r="K205" s="1">
        <v>6</v>
      </c>
      <c r="L205" s="1">
        <v>17</v>
      </c>
      <c r="M205" s="1"/>
      <c r="N205" s="1"/>
      <c r="O205" s="1">
        <v>2</v>
      </c>
      <c r="P205" s="1"/>
      <c r="Q205" s="1"/>
    </row>
    <row r="206" spans="1:17" x14ac:dyDescent="0.3">
      <c r="B206" s="5" t="s">
        <v>241</v>
      </c>
      <c r="C206" s="1" t="s">
        <v>1</v>
      </c>
      <c r="D206" s="2">
        <v>12.330443545375701</v>
      </c>
      <c r="E206" s="2">
        <v>2.7977412472081902</v>
      </c>
      <c r="F206" s="1"/>
      <c r="G206" s="2">
        <v>1.5612356068081999E-2</v>
      </c>
      <c r="H206" s="2">
        <v>0.103489532930138</v>
      </c>
      <c r="I206" s="2"/>
      <c r="J206" s="1"/>
      <c r="K206" s="1">
        <v>20</v>
      </c>
      <c r="L206" s="1">
        <v>5</v>
      </c>
      <c r="M206" s="1"/>
      <c r="N206" s="1">
        <v>2</v>
      </c>
      <c r="O206" s="1">
        <v>2</v>
      </c>
      <c r="P206" s="1"/>
      <c r="Q206" s="1"/>
    </row>
    <row r="207" spans="1:17" x14ac:dyDescent="0.3">
      <c r="B207" s="5" t="s">
        <v>242</v>
      </c>
      <c r="C207" s="1" t="s">
        <v>1</v>
      </c>
      <c r="D207" s="1"/>
      <c r="E207" s="2">
        <v>1.4991840613103401E-2</v>
      </c>
      <c r="F207" s="1"/>
      <c r="G207" s="1"/>
      <c r="H207" s="1"/>
      <c r="I207" s="1"/>
      <c r="J207" s="1"/>
      <c r="K207" s="1"/>
      <c r="L207" s="1">
        <v>1</v>
      </c>
      <c r="M207" s="1"/>
      <c r="N207" s="1"/>
      <c r="O207" s="1"/>
      <c r="P207" s="1"/>
      <c r="Q207" s="1"/>
    </row>
    <row r="208" spans="1:17" x14ac:dyDescent="0.3">
      <c r="B208" s="5" t="s">
        <v>243</v>
      </c>
      <c r="C208" s="1" t="s">
        <v>1</v>
      </c>
      <c r="D208" s="1"/>
      <c r="E208" s="2">
        <v>1.60176644229604</v>
      </c>
      <c r="F208" s="1"/>
      <c r="G208" s="1"/>
      <c r="H208" s="1"/>
      <c r="I208" s="1"/>
      <c r="J208" s="1"/>
      <c r="K208" s="1"/>
      <c r="L208" s="1">
        <v>50</v>
      </c>
      <c r="M208" s="1"/>
      <c r="N208" s="1"/>
      <c r="O208" s="1"/>
      <c r="P208" s="1"/>
      <c r="Q208" s="1"/>
    </row>
    <row r="209" spans="1:17" x14ac:dyDescent="0.3">
      <c r="B209" s="5" t="s">
        <v>244</v>
      </c>
      <c r="C209" s="1" t="s">
        <v>1</v>
      </c>
      <c r="D209" s="1"/>
      <c r="E209" s="2">
        <v>1.0092134567806901</v>
      </c>
      <c r="F209" s="1"/>
      <c r="G209" s="1"/>
      <c r="H209" s="1"/>
      <c r="I209" s="1"/>
      <c r="J209" s="1"/>
      <c r="K209" s="1"/>
      <c r="L209" s="1">
        <v>22</v>
      </c>
      <c r="M209" s="1"/>
      <c r="N209" s="1"/>
      <c r="O209" s="1"/>
      <c r="P209" s="1"/>
      <c r="Q209" s="1"/>
    </row>
    <row r="210" spans="1:17" x14ac:dyDescent="0.3">
      <c r="B210" s="5" t="s">
        <v>245</v>
      </c>
      <c r="C210" s="1" t="s">
        <v>1</v>
      </c>
      <c r="D210" s="2">
        <v>3.3695678803105297E-2</v>
      </c>
      <c r="E210" s="2">
        <v>0.135262100778935</v>
      </c>
      <c r="F210" s="1"/>
      <c r="G210" s="1"/>
      <c r="H210" s="1"/>
      <c r="I210" s="1"/>
      <c r="J210" s="1"/>
      <c r="K210" s="1">
        <v>3</v>
      </c>
      <c r="L210" s="1">
        <v>7</v>
      </c>
      <c r="M210" s="1"/>
      <c r="N210" s="1"/>
      <c r="O210" s="1"/>
      <c r="P210" s="1"/>
      <c r="Q210" s="1"/>
    </row>
    <row r="211" spans="1:17" x14ac:dyDescent="0.3">
      <c r="B211" s="5" t="s">
        <v>246</v>
      </c>
      <c r="C211" s="1" t="s">
        <v>1</v>
      </c>
      <c r="D211" s="1"/>
      <c r="E211" s="2">
        <v>2.2149152951082201E-2</v>
      </c>
      <c r="F211" s="1"/>
      <c r="G211" s="1"/>
      <c r="H211" s="1"/>
      <c r="I211" s="1"/>
      <c r="J211" s="1"/>
      <c r="K211" s="1"/>
      <c r="L211" s="1">
        <v>2</v>
      </c>
      <c r="M211" s="1"/>
      <c r="N211" s="1"/>
      <c r="O211" s="1"/>
      <c r="P211" s="1"/>
      <c r="Q211" s="1"/>
    </row>
    <row r="212" spans="1:17" x14ac:dyDescent="0.3">
      <c r="A212" s="1" t="s">
        <v>35</v>
      </c>
      <c r="B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3">
      <c r="B213" s="5" t="s">
        <v>247</v>
      </c>
      <c r="C213" s="1" t="s">
        <v>1</v>
      </c>
      <c r="D213" s="1"/>
      <c r="E213" s="2">
        <v>7.4197705336550193E-2</v>
      </c>
      <c r="F213" s="1"/>
      <c r="G213" s="1"/>
      <c r="H213" s="2">
        <v>2.4178482075829E-2</v>
      </c>
      <c r="I213" s="2"/>
      <c r="J213" s="1"/>
      <c r="K213" s="1"/>
      <c r="L213" s="1">
        <v>2</v>
      </c>
      <c r="M213" s="1"/>
      <c r="N213" s="1"/>
      <c r="O213" s="1">
        <v>2</v>
      </c>
      <c r="P213" s="1"/>
      <c r="Q213" s="1"/>
    </row>
    <row r="214" spans="1:17" x14ac:dyDescent="0.3">
      <c r="B214" s="5" t="s">
        <v>248</v>
      </c>
      <c r="C214" s="1" t="s">
        <v>1</v>
      </c>
      <c r="D214" s="1"/>
      <c r="E214" s="2">
        <v>0.37548954741879798</v>
      </c>
      <c r="F214" s="1"/>
      <c r="G214" s="1"/>
      <c r="H214" s="1"/>
      <c r="I214" s="1"/>
      <c r="J214" s="1"/>
      <c r="K214" s="1"/>
      <c r="L214" s="1">
        <v>22</v>
      </c>
      <c r="M214" s="1"/>
      <c r="N214" s="1"/>
      <c r="O214" s="1"/>
      <c r="P214" s="1"/>
      <c r="Q214" s="1"/>
    </row>
    <row r="215" spans="1:17" x14ac:dyDescent="0.3">
      <c r="B215" s="5" t="s">
        <v>249</v>
      </c>
      <c r="C215" s="1" t="s">
        <v>1</v>
      </c>
      <c r="D215" s="1"/>
      <c r="E215" s="2">
        <v>8.5265165621503207E-3</v>
      </c>
      <c r="F215" s="1"/>
      <c r="G215" s="1"/>
      <c r="H215" s="1"/>
      <c r="I215" s="1"/>
      <c r="J215" s="1"/>
      <c r="K215" s="1"/>
      <c r="L215" s="1">
        <v>1</v>
      </c>
      <c r="M215" s="1"/>
      <c r="N215" s="1"/>
      <c r="O215" s="1"/>
      <c r="P215" s="1"/>
      <c r="Q215" s="1"/>
    </row>
    <row r="216" spans="1:17" x14ac:dyDescent="0.3">
      <c r="A216" s="1" t="s">
        <v>36</v>
      </c>
      <c r="B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3">
      <c r="B217" s="5" t="s">
        <v>250</v>
      </c>
      <c r="C217" s="1" t="s">
        <v>1</v>
      </c>
      <c r="D217" s="1"/>
      <c r="E217" s="2">
        <v>0.187426148621536</v>
      </c>
      <c r="F217" s="1"/>
      <c r="G217" s="1"/>
      <c r="H217" s="1"/>
      <c r="I217" s="1"/>
      <c r="J217" s="1"/>
      <c r="K217" s="1"/>
      <c r="L217" s="1">
        <v>2</v>
      </c>
      <c r="M217" s="1"/>
      <c r="N217" s="1"/>
      <c r="O217" s="1"/>
      <c r="P217" s="1"/>
      <c r="Q217" s="1"/>
    </row>
    <row r="218" spans="1:17" x14ac:dyDescent="0.3">
      <c r="B218" s="5" t="s">
        <v>251</v>
      </c>
      <c r="C218" s="1" t="s">
        <v>1</v>
      </c>
      <c r="D218" s="2">
        <v>4.7378563165924002E-2</v>
      </c>
      <c r="E218" s="1"/>
      <c r="F218" s="1"/>
      <c r="G218" s="1"/>
      <c r="H218" s="1"/>
      <c r="I218" s="1"/>
      <c r="J218" s="1"/>
      <c r="K218" s="1">
        <v>1</v>
      </c>
      <c r="L218" s="1"/>
      <c r="M218" s="1"/>
      <c r="N218" s="1"/>
      <c r="O218" s="1"/>
      <c r="P218" s="1"/>
      <c r="Q218" s="1"/>
    </row>
    <row r="219" spans="1:17" x14ac:dyDescent="0.3">
      <c r="B219" s="5" t="s">
        <v>252</v>
      </c>
      <c r="C219" s="1" t="s">
        <v>1</v>
      </c>
      <c r="D219" s="2">
        <v>2.23282642469083E-2</v>
      </c>
      <c r="E219" s="2">
        <v>9.1743850835499607</v>
      </c>
      <c r="F219" s="1"/>
      <c r="G219" s="1"/>
      <c r="H219" s="2">
        <v>0.34261563240575699</v>
      </c>
      <c r="I219" s="2"/>
      <c r="J219" s="1"/>
      <c r="K219" s="1">
        <v>1</v>
      </c>
      <c r="L219" s="1">
        <v>187</v>
      </c>
      <c r="M219" s="1"/>
      <c r="N219" s="1"/>
      <c r="O219" s="1">
        <v>14</v>
      </c>
      <c r="P219" s="1"/>
      <c r="Q219" s="1"/>
    </row>
    <row r="220" spans="1:17" x14ac:dyDescent="0.3">
      <c r="A220" s="1" t="s">
        <v>37</v>
      </c>
      <c r="B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3">
      <c r="B221" s="5" t="s">
        <v>253</v>
      </c>
      <c r="C221" s="1" t="s">
        <v>1</v>
      </c>
      <c r="D221" s="1"/>
      <c r="E221" s="1"/>
      <c r="F221" s="1"/>
      <c r="G221" s="1"/>
      <c r="H221" s="2">
        <v>0.35903841398978797</v>
      </c>
      <c r="I221" s="2"/>
      <c r="J221" s="1"/>
      <c r="K221" s="1"/>
      <c r="L221" s="1"/>
      <c r="M221" s="1"/>
      <c r="N221" s="1"/>
      <c r="O221" s="1">
        <v>7</v>
      </c>
      <c r="P221" s="1"/>
      <c r="Q221" s="1"/>
    </row>
    <row r="222" spans="1:17" x14ac:dyDescent="0.3">
      <c r="B222" s="5" t="s">
        <v>254</v>
      </c>
      <c r="C222" s="1" t="s">
        <v>1</v>
      </c>
      <c r="D222" s="1"/>
      <c r="E222" s="1"/>
      <c r="F222" s="2">
        <v>3.8280910336755201E-2</v>
      </c>
      <c r="G222" s="1"/>
      <c r="H222" s="1"/>
      <c r="I222" s="1"/>
      <c r="J222" s="1"/>
      <c r="K222" s="1"/>
      <c r="L222" s="1"/>
      <c r="M222" s="1">
        <v>2</v>
      </c>
      <c r="N222" s="1"/>
      <c r="O222" s="1"/>
      <c r="P222" s="1"/>
      <c r="Q222" s="1"/>
    </row>
    <row r="223" spans="1:17" x14ac:dyDescent="0.3">
      <c r="B223" s="5" t="s">
        <v>255</v>
      </c>
      <c r="C223" s="1" t="s">
        <v>1</v>
      </c>
      <c r="D223" s="1"/>
      <c r="E223" s="2">
        <v>3.8121751833676498E-2</v>
      </c>
      <c r="F223" s="1"/>
      <c r="G223" s="1"/>
      <c r="H223" s="1"/>
      <c r="I223" s="1"/>
      <c r="J223" s="1"/>
      <c r="K223" s="1"/>
      <c r="L223" s="1">
        <v>3</v>
      </c>
      <c r="M223" s="1"/>
      <c r="N223" s="1"/>
      <c r="O223" s="1"/>
      <c r="P223" s="1"/>
      <c r="Q223" s="1"/>
    </row>
    <row r="224" spans="1:17" x14ac:dyDescent="0.3">
      <c r="B224" s="5" t="s">
        <v>256</v>
      </c>
      <c r="C224" s="1" t="s">
        <v>1</v>
      </c>
      <c r="D224" s="1"/>
      <c r="E224" s="1"/>
      <c r="F224" s="2">
        <v>1.21177129347004</v>
      </c>
      <c r="G224" s="1"/>
      <c r="H224" s="1"/>
      <c r="I224" s="1"/>
      <c r="J224" s="1"/>
      <c r="K224" s="1"/>
      <c r="L224" s="1"/>
      <c r="M224" s="1">
        <v>6</v>
      </c>
      <c r="N224" s="1"/>
      <c r="O224" s="1"/>
      <c r="P224" s="1"/>
      <c r="Q224" s="1"/>
    </row>
    <row r="225" spans="2:17" x14ac:dyDescent="0.3">
      <c r="B225" s="5" t="s">
        <v>257</v>
      </c>
      <c r="C225" s="1" t="s">
        <v>1</v>
      </c>
      <c r="D225" s="1"/>
      <c r="E225" s="1"/>
      <c r="F225" s="1"/>
      <c r="G225" s="1"/>
      <c r="H225" s="2">
        <v>1.4111131342968901E-2</v>
      </c>
      <c r="I225" s="2"/>
      <c r="J225" s="1"/>
      <c r="K225" s="1"/>
      <c r="L225" s="1"/>
      <c r="M225" s="1"/>
      <c r="N225" s="1"/>
      <c r="O225" s="1">
        <v>1</v>
      </c>
      <c r="P225" s="1"/>
      <c r="Q225" s="1"/>
    </row>
    <row r="226" spans="2:17" x14ac:dyDescent="0.3">
      <c r="B226" s="5" t="s">
        <v>258</v>
      </c>
      <c r="C226" s="1" t="s">
        <v>1</v>
      </c>
      <c r="D226" s="1"/>
      <c r="E226" s="1"/>
      <c r="F226" s="1"/>
      <c r="G226" s="2">
        <v>0.116420792482428</v>
      </c>
      <c r="H226" s="2">
        <v>0.63588682286790799</v>
      </c>
      <c r="I226" s="2"/>
      <c r="J226" s="1"/>
      <c r="K226" s="1"/>
      <c r="L226" s="1"/>
      <c r="M226" s="1"/>
      <c r="N226" s="1">
        <v>2</v>
      </c>
      <c r="O226" s="1">
        <v>22</v>
      </c>
      <c r="P226" s="1"/>
      <c r="Q226" s="1"/>
    </row>
    <row r="227" spans="2:17" x14ac:dyDescent="0.3">
      <c r="B227" s="5" t="s">
        <v>259</v>
      </c>
      <c r="C227" s="1" t="s">
        <v>1</v>
      </c>
      <c r="D227" s="1"/>
      <c r="E227" s="1"/>
      <c r="F227" s="1"/>
      <c r="G227" s="1"/>
      <c r="H227" s="2">
        <v>7.3630346876839795E-2</v>
      </c>
      <c r="I227" s="2"/>
      <c r="J227" s="1"/>
      <c r="K227" s="1"/>
      <c r="L227" s="1"/>
      <c r="M227" s="1"/>
      <c r="N227" s="1"/>
      <c r="O227" s="1">
        <v>2</v>
      </c>
      <c r="P227" s="1"/>
      <c r="Q227" s="1"/>
    </row>
    <row r="228" spans="2:17" x14ac:dyDescent="0.3">
      <c r="B228" s="5" t="s">
        <v>260</v>
      </c>
      <c r="C228" s="1" t="s">
        <v>1</v>
      </c>
      <c r="D228" s="1"/>
      <c r="E228" s="2">
        <v>1.3044861121807301</v>
      </c>
      <c r="F228" s="1"/>
      <c r="G228" s="1"/>
      <c r="H228" s="2">
        <v>0.42041077647092701</v>
      </c>
      <c r="I228" s="2"/>
      <c r="J228" s="1"/>
      <c r="K228" s="1"/>
      <c r="L228" s="1">
        <v>15</v>
      </c>
      <c r="M228" s="1"/>
      <c r="N228" s="1"/>
      <c r="O228" s="1">
        <v>14</v>
      </c>
      <c r="P228" s="1"/>
      <c r="Q228" s="1"/>
    </row>
    <row r="229" spans="2:17" x14ac:dyDescent="0.3">
      <c r="B229" s="5" t="s">
        <v>261</v>
      </c>
      <c r="C229" s="1" t="s">
        <v>1</v>
      </c>
      <c r="D229" s="2">
        <v>2.5279784184887501E-2</v>
      </c>
      <c r="E229" s="1"/>
      <c r="F229" s="1"/>
      <c r="G229" s="1"/>
      <c r="H229" s="1"/>
      <c r="I229" s="1"/>
      <c r="J229" s="1"/>
      <c r="K229" s="1">
        <v>1</v>
      </c>
      <c r="L229" s="1"/>
      <c r="M229" s="1"/>
      <c r="N229" s="1"/>
      <c r="O229" s="1"/>
      <c r="P229" s="1"/>
      <c r="Q229" s="1"/>
    </row>
    <row r="230" spans="2:17" x14ac:dyDescent="0.3">
      <c r="B230" s="5" t="s">
        <v>262</v>
      </c>
      <c r="C230" s="1" t="s">
        <v>1</v>
      </c>
      <c r="D230" s="2">
        <v>0.36928443507985897</v>
      </c>
      <c r="E230" s="1"/>
      <c r="F230" s="1"/>
      <c r="G230" s="1"/>
      <c r="H230" s="1"/>
      <c r="I230" s="1"/>
      <c r="J230" s="1"/>
      <c r="K230" s="1">
        <v>8</v>
      </c>
      <c r="L230" s="1"/>
      <c r="M230" s="1"/>
      <c r="N230" s="1"/>
      <c r="O230" s="1"/>
      <c r="P230" s="1"/>
      <c r="Q230" s="1"/>
    </row>
    <row r="231" spans="2:17" x14ac:dyDescent="0.3">
      <c r="B231" s="5" t="s">
        <v>263</v>
      </c>
      <c r="C231" s="1" t="s">
        <v>1</v>
      </c>
      <c r="D231" s="2">
        <v>4.3783777901693899</v>
      </c>
      <c r="E231" s="2">
        <v>0.47777724378092001</v>
      </c>
      <c r="F231" s="1"/>
      <c r="G231" s="1"/>
      <c r="H231" s="1"/>
      <c r="I231" s="1"/>
      <c r="J231" s="1"/>
      <c r="K231" s="1">
        <v>49</v>
      </c>
      <c r="L231" s="1">
        <v>4</v>
      </c>
      <c r="M231" s="1"/>
      <c r="N231" s="1"/>
      <c r="O231" s="1"/>
      <c r="P231" s="1"/>
      <c r="Q231" s="1"/>
    </row>
    <row r="232" spans="2:17" x14ac:dyDescent="0.3">
      <c r="B232" s="5" t="s">
        <v>264</v>
      </c>
      <c r="C232" s="1" t="s">
        <v>1</v>
      </c>
      <c r="D232" s="2">
        <v>2.7972643284909502</v>
      </c>
      <c r="E232" s="1"/>
      <c r="F232" s="1"/>
      <c r="G232" s="1"/>
      <c r="H232" s="1"/>
      <c r="I232" s="1"/>
      <c r="J232" s="1"/>
      <c r="K232" s="1">
        <v>37</v>
      </c>
      <c r="L232" s="1"/>
      <c r="M232" s="1"/>
      <c r="N232" s="1"/>
      <c r="O232" s="1"/>
      <c r="P232" s="1"/>
      <c r="Q232" s="1"/>
    </row>
    <row r="233" spans="2:17" x14ac:dyDescent="0.3">
      <c r="B233" s="5" t="s">
        <v>265</v>
      </c>
      <c r="C233" s="1" t="s">
        <v>1</v>
      </c>
      <c r="D233" s="1"/>
      <c r="E233" s="2">
        <v>0.16440602621504999</v>
      </c>
      <c r="F233" s="1"/>
      <c r="G233" s="1"/>
      <c r="H233" s="1"/>
      <c r="I233" s="1"/>
      <c r="J233" s="1"/>
      <c r="K233" s="1"/>
      <c r="L233" s="1">
        <v>5</v>
      </c>
      <c r="M233" s="1"/>
      <c r="N233" s="1"/>
      <c r="O233" s="1"/>
      <c r="P233" s="1"/>
      <c r="Q233" s="1"/>
    </row>
    <row r="234" spans="2:17" x14ac:dyDescent="0.3">
      <c r="B234" s="5" t="s">
        <v>266</v>
      </c>
      <c r="C234" s="1" t="s">
        <v>1</v>
      </c>
      <c r="D234" s="2">
        <v>1.11515781682616</v>
      </c>
      <c r="E234" s="1"/>
      <c r="F234" s="1"/>
      <c r="G234" s="1"/>
      <c r="H234" s="1"/>
      <c r="I234" s="1"/>
      <c r="J234" s="1"/>
      <c r="K234" s="1">
        <v>26</v>
      </c>
      <c r="L234" s="1"/>
      <c r="M234" s="1"/>
      <c r="N234" s="1"/>
      <c r="O234" s="1"/>
      <c r="P234" s="1"/>
      <c r="Q234" s="1"/>
    </row>
    <row r="235" spans="2:17" x14ac:dyDescent="0.3">
      <c r="B235" s="5" t="s">
        <v>267</v>
      </c>
      <c r="C235" s="1" t="s">
        <v>1</v>
      </c>
      <c r="D235" s="2">
        <v>0.33831294335617601</v>
      </c>
      <c r="E235" s="2">
        <v>4.3173663334052197</v>
      </c>
      <c r="F235" s="2">
        <v>0.18094085694973699</v>
      </c>
      <c r="G235" s="1"/>
      <c r="H235" s="2">
        <v>0.89796088309375299</v>
      </c>
      <c r="I235" s="2"/>
      <c r="J235" s="1"/>
      <c r="K235" s="1">
        <v>9</v>
      </c>
      <c r="L235" s="1">
        <v>102</v>
      </c>
      <c r="M235" s="1">
        <v>2</v>
      </c>
      <c r="N235" s="1"/>
      <c r="O235" s="1">
        <v>16</v>
      </c>
      <c r="P235" s="1"/>
      <c r="Q235" s="1"/>
    </row>
    <row r="236" spans="2:17" x14ac:dyDescent="0.3">
      <c r="B236" s="5" t="s">
        <v>268</v>
      </c>
      <c r="C236" s="1" t="s">
        <v>1</v>
      </c>
      <c r="D236" s="1"/>
      <c r="E236" s="1"/>
      <c r="F236" s="1"/>
      <c r="G236" s="1"/>
      <c r="H236" s="2">
        <v>4.0374284726876403E-2</v>
      </c>
      <c r="I236" s="2"/>
      <c r="J236" s="1"/>
      <c r="K236" s="1"/>
      <c r="L236" s="1"/>
      <c r="M236" s="1"/>
      <c r="N236" s="1"/>
      <c r="O236" s="1">
        <v>1</v>
      </c>
      <c r="P236" s="1"/>
      <c r="Q236" s="1"/>
    </row>
    <row r="237" spans="2:17" x14ac:dyDescent="0.3">
      <c r="B237" s="5" t="s">
        <v>269</v>
      </c>
      <c r="C237" s="1" t="s">
        <v>1</v>
      </c>
      <c r="D237" s="2">
        <v>2.77019323473785</v>
      </c>
      <c r="E237" s="1"/>
      <c r="F237" s="1"/>
      <c r="G237" s="1"/>
      <c r="H237" s="1"/>
      <c r="I237" s="1"/>
      <c r="J237" s="1"/>
      <c r="K237" s="1">
        <v>85</v>
      </c>
      <c r="L237" s="1"/>
      <c r="M237" s="1"/>
      <c r="N237" s="1"/>
      <c r="O237" s="1"/>
      <c r="P237" s="1"/>
      <c r="Q237" s="1"/>
    </row>
    <row r="238" spans="2:17" x14ac:dyDescent="0.3">
      <c r="B238" s="5" t="s">
        <v>270</v>
      </c>
      <c r="C238" s="1" t="s">
        <v>1</v>
      </c>
      <c r="D238" s="1"/>
      <c r="E238" s="1"/>
      <c r="F238" s="1"/>
      <c r="G238" s="1"/>
      <c r="H238" s="2">
        <v>3.0616492644814799</v>
      </c>
      <c r="I238" s="2"/>
      <c r="J238" s="1"/>
      <c r="K238" s="1"/>
      <c r="L238" s="1"/>
      <c r="M238" s="1"/>
      <c r="N238" s="1"/>
      <c r="O238" s="1">
        <v>106</v>
      </c>
      <c r="P238" s="1"/>
      <c r="Q238" s="1"/>
    </row>
    <row r="239" spans="2:17" x14ac:dyDescent="0.3">
      <c r="B239" s="5" t="s">
        <v>271</v>
      </c>
      <c r="C239" s="1" t="s">
        <v>1</v>
      </c>
      <c r="D239" s="1"/>
      <c r="E239" s="2">
        <v>0.750804640944014</v>
      </c>
      <c r="F239" s="1"/>
      <c r="G239" s="1"/>
      <c r="H239" s="2">
        <v>4.9839999969458502</v>
      </c>
      <c r="I239" s="2"/>
      <c r="J239" s="1"/>
      <c r="K239" s="1"/>
      <c r="L239" s="1">
        <v>3</v>
      </c>
      <c r="M239" s="1"/>
      <c r="N239" s="1"/>
      <c r="O239" s="1">
        <v>76</v>
      </c>
      <c r="P239" s="1"/>
      <c r="Q239" s="1"/>
    </row>
    <row r="240" spans="2:17" x14ac:dyDescent="0.3">
      <c r="B240" s="5" t="s">
        <v>272</v>
      </c>
      <c r="C240" s="1" t="s">
        <v>1</v>
      </c>
      <c r="D240" s="1"/>
      <c r="E240" s="1"/>
      <c r="F240" s="1"/>
      <c r="G240" s="1"/>
      <c r="H240" s="2">
        <v>4.8133591412123901E-2</v>
      </c>
      <c r="I240" s="2"/>
      <c r="J240" s="1"/>
      <c r="K240" s="1"/>
      <c r="L240" s="1"/>
      <c r="M240" s="1"/>
      <c r="N240" s="1"/>
      <c r="O240" s="1">
        <v>1</v>
      </c>
      <c r="P240" s="1"/>
      <c r="Q240" s="1"/>
    </row>
    <row r="241" spans="2:17" x14ac:dyDescent="0.3">
      <c r="B241" s="5" t="s">
        <v>273</v>
      </c>
      <c r="C241" s="1" t="s">
        <v>1</v>
      </c>
      <c r="D241" s="2">
        <v>0.22674986969687499</v>
      </c>
      <c r="E241" s="1"/>
      <c r="F241" s="1"/>
      <c r="G241" s="1"/>
      <c r="H241" s="1"/>
      <c r="I241" s="1"/>
      <c r="J241" s="1"/>
      <c r="K241" s="1">
        <v>7</v>
      </c>
      <c r="L241" s="1"/>
      <c r="M241" s="1"/>
      <c r="N241" s="1"/>
      <c r="O241" s="1"/>
      <c r="P241" s="1"/>
      <c r="Q241" s="1"/>
    </row>
    <row r="242" spans="2:17" x14ac:dyDescent="0.3">
      <c r="B242" s="5" t="s">
        <v>412</v>
      </c>
      <c r="C242" s="1" t="s">
        <v>1</v>
      </c>
      <c r="D242" s="1"/>
      <c r="E242" s="1"/>
      <c r="F242" s="1"/>
      <c r="G242" s="1"/>
      <c r="H242" s="2">
        <v>0.49370537361806799</v>
      </c>
      <c r="I242" s="2"/>
      <c r="J242" s="1"/>
      <c r="K242" s="1"/>
      <c r="L242" s="1"/>
      <c r="M242" s="1"/>
      <c r="N242" s="1"/>
      <c r="O242" s="1">
        <v>1</v>
      </c>
      <c r="P242" s="1"/>
      <c r="Q242" s="1"/>
    </row>
    <row r="243" spans="2:17" x14ac:dyDescent="0.3">
      <c r="B243" s="5" t="s">
        <v>413</v>
      </c>
      <c r="C243" s="1" t="s">
        <v>1</v>
      </c>
      <c r="D243" s="1"/>
      <c r="E243" s="1"/>
      <c r="F243" s="1"/>
      <c r="G243" s="1"/>
      <c r="H243" s="2">
        <v>1.6357631276724099E-2</v>
      </c>
      <c r="I243" s="2"/>
      <c r="J243" s="1"/>
      <c r="K243" s="1"/>
      <c r="L243" s="1"/>
      <c r="M243" s="1"/>
      <c r="N243" s="1"/>
      <c r="O243" s="1">
        <v>1</v>
      </c>
      <c r="P243" s="1"/>
      <c r="Q243" s="1"/>
    </row>
    <row r="244" spans="2:17" x14ac:dyDescent="0.3">
      <c r="B244" s="5" t="s">
        <v>274</v>
      </c>
      <c r="C244" s="1" t="s">
        <v>1</v>
      </c>
      <c r="D244" s="1"/>
      <c r="E244" s="1"/>
      <c r="F244" s="1"/>
      <c r="G244" s="1"/>
      <c r="H244" s="2">
        <v>0.152551600716341</v>
      </c>
      <c r="I244" s="2"/>
      <c r="J244" s="1"/>
      <c r="K244" s="1"/>
      <c r="L244" s="1"/>
      <c r="M244" s="1"/>
      <c r="N244" s="1"/>
      <c r="O244" s="1">
        <v>3</v>
      </c>
      <c r="P244" s="1"/>
      <c r="Q244" s="1"/>
    </row>
    <row r="245" spans="2:17" x14ac:dyDescent="0.3">
      <c r="B245" s="5" t="s">
        <v>275</v>
      </c>
      <c r="C245" s="1" t="s">
        <v>1</v>
      </c>
      <c r="D245" s="2">
        <v>1.1553678310173499E-2</v>
      </c>
      <c r="E245" s="1"/>
      <c r="F245" s="1"/>
      <c r="G245" s="1"/>
      <c r="H245" s="1"/>
      <c r="I245" s="1"/>
      <c r="J245" s="1"/>
      <c r="K245" s="1">
        <v>1</v>
      </c>
      <c r="L245" s="1"/>
      <c r="M245" s="1"/>
      <c r="N245" s="1"/>
      <c r="O245" s="1"/>
      <c r="P245" s="1"/>
      <c r="Q245" s="1"/>
    </row>
    <row r="246" spans="2:17" x14ac:dyDescent="0.3">
      <c r="B246" s="5" t="s">
        <v>276</v>
      </c>
      <c r="C246" s="1" t="s">
        <v>1</v>
      </c>
      <c r="D246" s="1"/>
      <c r="E246" s="2">
        <v>2.6903896564777598</v>
      </c>
      <c r="F246" s="1"/>
      <c r="G246" s="1"/>
      <c r="H246" s="1"/>
      <c r="I246" s="1"/>
      <c r="J246" s="1"/>
      <c r="K246" s="1"/>
      <c r="L246" s="1">
        <v>26</v>
      </c>
      <c r="M246" s="1"/>
      <c r="N246" s="1"/>
      <c r="O246" s="1"/>
      <c r="P246" s="1"/>
      <c r="Q246" s="1"/>
    </row>
    <row r="247" spans="2:17" x14ac:dyDescent="0.3">
      <c r="B247" s="5" t="s">
        <v>277</v>
      </c>
      <c r="C247" s="1" t="s">
        <v>1</v>
      </c>
      <c r="D247" s="2">
        <v>2.1762148764620799E-2</v>
      </c>
      <c r="E247" s="1"/>
      <c r="F247" s="1"/>
      <c r="G247" s="1"/>
      <c r="H247" s="1"/>
      <c r="I247" s="1"/>
      <c r="J247" s="1"/>
      <c r="K247" s="1">
        <v>2</v>
      </c>
      <c r="L247" s="1"/>
      <c r="M247" s="1"/>
      <c r="N247" s="1"/>
      <c r="O247" s="1"/>
      <c r="P247" s="1"/>
      <c r="Q247" s="1"/>
    </row>
    <row r="248" spans="2:17" x14ac:dyDescent="0.3">
      <c r="B248" s="5" t="s">
        <v>278</v>
      </c>
      <c r="C248" s="1" t="s">
        <v>1</v>
      </c>
      <c r="D248" s="1"/>
      <c r="E248" s="2">
        <v>9.9455116821921999E-2</v>
      </c>
      <c r="F248" s="1"/>
      <c r="G248" s="1"/>
      <c r="H248" s="1"/>
      <c r="I248" s="1"/>
      <c r="J248" s="1"/>
      <c r="K248" s="1"/>
      <c r="L248" s="1">
        <v>5</v>
      </c>
      <c r="M248" s="1"/>
      <c r="N248" s="1"/>
      <c r="O248" s="1"/>
      <c r="P248" s="1"/>
      <c r="Q248" s="1"/>
    </row>
    <row r="249" spans="2:17" x14ac:dyDescent="0.3">
      <c r="B249" s="5" t="s">
        <v>279</v>
      </c>
      <c r="C249" s="1" t="s">
        <v>1</v>
      </c>
      <c r="D249" s="1"/>
      <c r="E249" s="1"/>
      <c r="F249" s="2">
        <v>1.55625167274486E-2</v>
      </c>
      <c r="G249" s="1"/>
      <c r="H249" s="1"/>
      <c r="I249" s="1"/>
      <c r="J249" s="1"/>
      <c r="K249" s="1"/>
      <c r="L249" s="1"/>
      <c r="M249" s="1">
        <v>1</v>
      </c>
      <c r="N249" s="1"/>
      <c r="O249" s="1"/>
      <c r="P249" s="1"/>
      <c r="Q249" s="1"/>
    </row>
    <row r="250" spans="2:17" x14ac:dyDescent="0.3">
      <c r="B250" s="5" t="s">
        <v>280</v>
      </c>
      <c r="C250" s="1" t="s">
        <v>5</v>
      </c>
      <c r="D250" s="1"/>
      <c r="E250" s="1"/>
      <c r="F250" s="1"/>
      <c r="G250" s="1"/>
      <c r="H250" s="1"/>
      <c r="I250" s="2">
        <f>J250/0.5</f>
        <v>21.6138138665372</v>
      </c>
      <c r="J250" s="2">
        <v>10.8069069332686</v>
      </c>
      <c r="K250" s="1"/>
      <c r="L250" s="1"/>
      <c r="M250" s="1"/>
      <c r="N250" s="1"/>
      <c r="O250" s="1"/>
      <c r="P250" s="1">
        <f>Q250/0.5</f>
        <v>498</v>
      </c>
      <c r="Q250" s="1">
        <v>249</v>
      </c>
    </row>
    <row r="251" spans="2:17" x14ac:dyDescent="0.3">
      <c r="B251" s="5" t="s">
        <v>281</v>
      </c>
      <c r="C251" s="1" t="s">
        <v>5</v>
      </c>
      <c r="D251" s="2">
        <v>0.13279387365652101</v>
      </c>
      <c r="E251" s="1"/>
      <c r="F251" s="2">
        <v>6.6908634501007994E-2</v>
      </c>
      <c r="G251" s="1"/>
      <c r="H251" s="1"/>
      <c r="I251" s="1"/>
      <c r="J251" s="1"/>
      <c r="K251" s="1">
        <v>5</v>
      </c>
      <c r="L251" s="1"/>
      <c r="M251" s="1">
        <v>3</v>
      </c>
      <c r="N251" s="1"/>
      <c r="O251" s="1"/>
      <c r="P251" s="1"/>
      <c r="Q251" s="1"/>
    </row>
    <row r="252" spans="2:17" x14ac:dyDescent="0.3">
      <c r="B252" s="5" t="s">
        <v>282</v>
      </c>
      <c r="C252" s="1" t="s">
        <v>5</v>
      </c>
      <c r="D252" s="2">
        <v>0.307303558379526</v>
      </c>
      <c r="E252" s="1"/>
      <c r="F252" s="1"/>
      <c r="G252" s="1"/>
      <c r="H252" s="1"/>
      <c r="I252" s="1"/>
      <c r="J252" s="1"/>
      <c r="K252" s="1">
        <v>13</v>
      </c>
      <c r="L252" s="1"/>
      <c r="M252" s="1"/>
      <c r="N252" s="1"/>
      <c r="O252" s="1"/>
      <c r="P252" s="1"/>
      <c r="Q252" s="1"/>
    </row>
    <row r="253" spans="2:17" x14ac:dyDescent="0.3">
      <c r="B253" s="5" t="s">
        <v>283</v>
      </c>
      <c r="C253" s="1" t="s">
        <v>5</v>
      </c>
      <c r="D253" s="1"/>
      <c r="E253" s="1"/>
      <c r="F253" s="2">
        <v>23.710739012769999</v>
      </c>
      <c r="G253" s="2">
        <v>1.4658482460553499</v>
      </c>
      <c r="H253" s="2">
        <v>0.23882937489175601</v>
      </c>
      <c r="I253" s="2"/>
      <c r="J253" s="1"/>
      <c r="K253" s="1"/>
      <c r="L253" s="1"/>
      <c r="M253" s="1">
        <v>411</v>
      </c>
      <c r="N253" s="1">
        <v>30</v>
      </c>
      <c r="O253" s="1">
        <v>10</v>
      </c>
      <c r="P253" s="1"/>
      <c r="Q253" s="1"/>
    </row>
    <row r="254" spans="2:17" x14ac:dyDescent="0.3">
      <c r="B254" s="5" t="s">
        <v>284</v>
      </c>
      <c r="C254" s="1" t="s">
        <v>5</v>
      </c>
      <c r="D254" s="1"/>
      <c r="E254" s="1"/>
      <c r="F254" s="2">
        <v>0.113513895907917</v>
      </c>
      <c r="G254" s="1"/>
      <c r="H254" s="1"/>
      <c r="I254" s="1"/>
      <c r="J254" s="1"/>
      <c r="K254" s="1"/>
      <c r="L254" s="1"/>
      <c r="M254" s="1">
        <v>4</v>
      </c>
      <c r="N254" s="1"/>
      <c r="O254" s="1"/>
      <c r="P254" s="1"/>
      <c r="Q254" s="1"/>
    </row>
    <row r="255" spans="2:17" x14ac:dyDescent="0.3">
      <c r="B255" s="5" t="s">
        <v>285</v>
      </c>
      <c r="C255" s="1" t="s">
        <v>5</v>
      </c>
      <c r="D255" s="1"/>
      <c r="E255" s="1"/>
      <c r="F255" s="1"/>
      <c r="G255" s="1"/>
      <c r="H255" s="1"/>
      <c r="I255" s="2">
        <f>J255/0.5</f>
        <v>0.33820872440792399</v>
      </c>
      <c r="J255" s="2">
        <v>0.16910436220396199</v>
      </c>
      <c r="K255" s="1"/>
      <c r="L255" s="1"/>
      <c r="M255" s="1"/>
      <c r="N255" s="1"/>
      <c r="O255" s="1"/>
      <c r="P255" s="1">
        <f>Q255/0.5</f>
        <v>32</v>
      </c>
      <c r="Q255" s="1">
        <v>16</v>
      </c>
    </row>
    <row r="256" spans="2:17" x14ac:dyDescent="0.3">
      <c r="B256" s="5" t="s">
        <v>286</v>
      </c>
      <c r="C256" s="1" t="s">
        <v>5</v>
      </c>
      <c r="D256" s="1"/>
      <c r="E256" s="1"/>
      <c r="F256" s="2">
        <v>9.2616934807896598</v>
      </c>
      <c r="G256" s="2">
        <v>20.6839984150342</v>
      </c>
      <c r="H256" s="2">
        <v>0.37403396705704001</v>
      </c>
      <c r="I256" s="2"/>
      <c r="J256" s="1"/>
      <c r="K256" s="1"/>
      <c r="L256" s="1"/>
      <c r="M256" s="1">
        <v>52</v>
      </c>
      <c r="N256" s="1">
        <v>69</v>
      </c>
      <c r="O256" s="1">
        <v>13</v>
      </c>
      <c r="P256" s="1"/>
      <c r="Q256" s="1"/>
    </row>
    <row r="257" spans="2:17" x14ac:dyDescent="0.3">
      <c r="B257" s="5" t="s">
        <v>287</v>
      </c>
      <c r="C257" s="1" t="s">
        <v>5</v>
      </c>
      <c r="D257" s="1"/>
      <c r="E257" s="1"/>
      <c r="F257" s="1"/>
      <c r="G257" s="1"/>
      <c r="H257" s="2">
        <v>1.16597889789819E-2</v>
      </c>
      <c r="I257" s="2"/>
      <c r="J257" s="1"/>
      <c r="K257" s="1"/>
      <c r="L257" s="1"/>
      <c r="M257" s="1"/>
      <c r="N257" s="1"/>
      <c r="O257" s="1">
        <v>1</v>
      </c>
      <c r="P257" s="1"/>
      <c r="Q257" s="1"/>
    </row>
    <row r="258" spans="2:17" x14ac:dyDescent="0.3">
      <c r="B258" s="5" t="s">
        <v>288</v>
      </c>
      <c r="C258" s="1" t="s">
        <v>5</v>
      </c>
      <c r="D258" s="1"/>
      <c r="E258" s="1"/>
      <c r="F258" s="2">
        <v>1.55667315019163</v>
      </c>
      <c r="G258" s="1"/>
      <c r="H258" s="1"/>
      <c r="I258" s="1"/>
      <c r="J258" s="1"/>
      <c r="K258" s="1"/>
      <c r="L258" s="1"/>
      <c r="M258" s="1">
        <v>20</v>
      </c>
      <c r="N258" s="1"/>
      <c r="O258" s="1"/>
      <c r="P258" s="1"/>
      <c r="Q258" s="1"/>
    </row>
    <row r="259" spans="2:17" x14ac:dyDescent="0.3">
      <c r="B259" s="5" t="s">
        <v>289</v>
      </c>
      <c r="C259" s="1" t="s">
        <v>1</v>
      </c>
      <c r="D259" s="1"/>
      <c r="E259" s="1"/>
      <c r="F259" s="1"/>
      <c r="G259" s="1"/>
      <c r="H259" s="2">
        <v>2.6851130556932602E-2</v>
      </c>
      <c r="I259" s="2"/>
      <c r="J259" s="1"/>
      <c r="K259" s="1"/>
      <c r="L259" s="1"/>
      <c r="M259" s="1"/>
      <c r="N259" s="1"/>
      <c r="O259" s="1">
        <v>1</v>
      </c>
      <c r="P259" s="1"/>
      <c r="Q259" s="1"/>
    </row>
    <row r="260" spans="2:17" x14ac:dyDescent="0.3">
      <c r="B260" s="5" t="s">
        <v>290</v>
      </c>
      <c r="C260" s="1" t="s">
        <v>1</v>
      </c>
      <c r="D260" s="1"/>
      <c r="E260" s="1"/>
      <c r="F260" s="1"/>
      <c r="G260" s="1"/>
      <c r="H260" s="2">
        <v>0.970847075106129</v>
      </c>
      <c r="I260" s="2"/>
      <c r="J260" s="1"/>
      <c r="K260" s="1"/>
      <c r="L260" s="1"/>
      <c r="M260" s="1"/>
      <c r="N260" s="1"/>
      <c r="O260" s="1">
        <v>17</v>
      </c>
      <c r="P260" s="1"/>
      <c r="Q260" s="1"/>
    </row>
    <row r="261" spans="2:17" x14ac:dyDescent="0.3">
      <c r="B261" s="5" t="s">
        <v>291</v>
      </c>
      <c r="C261" s="1" t="s">
        <v>1</v>
      </c>
      <c r="D261" s="1"/>
      <c r="E261" s="1"/>
      <c r="F261" s="1"/>
      <c r="G261" s="1"/>
      <c r="H261" s="2">
        <v>2.7332243033558501</v>
      </c>
      <c r="I261" s="2">
        <f>J261/0.5</f>
        <v>5.02597035155928E-2</v>
      </c>
      <c r="J261" s="2">
        <v>2.51298517577964E-2</v>
      </c>
      <c r="K261" s="1"/>
      <c r="L261" s="1"/>
      <c r="M261" s="1"/>
      <c r="N261" s="1"/>
      <c r="O261" s="1">
        <v>51</v>
      </c>
      <c r="P261" s="1">
        <f>Q261/0.5</f>
        <v>2</v>
      </c>
      <c r="Q261" s="1">
        <v>1</v>
      </c>
    </row>
    <row r="262" spans="2:17" x14ac:dyDescent="0.3">
      <c r="B262" s="5" t="s">
        <v>292</v>
      </c>
      <c r="C262" s="1" t="s">
        <v>1</v>
      </c>
      <c r="D262" s="1"/>
      <c r="E262" s="1"/>
      <c r="F262" s="2">
        <v>4.5305050352449303</v>
      </c>
      <c r="G262" s="2">
        <v>6.9970986413229603</v>
      </c>
      <c r="H262" s="2">
        <v>0.19696424587289499</v>
      </c>
      <c r="I262" s="2"/>
      <c r="J262" s="1"/>
      <c r="K262" s="1"/>
      <c r="L262" s="1"/>
      <c r="M262" s="1">
        <v>167</v>
      </c>
      <c r="N262" s="1">
        <v>112</v>
      </c>
      <c r="O262" s="1">
        <v>13</v>
      </c>
      <c r="P262" s="1"/>
      <c r="Q262" s="1"/>
    </row>
    <row r="263" spans="2:17" x14ac:dyDescent="0.3">
      <c r="B263" s="5" t="s">
        <v>293</v>
      </c>
      <c r="C263" s="1" t="s">
        <v>1</v>
      </c>
      <c r="D263" s="1"/>
      <c r="E263" s="2">
        <v>0.103819573505045</v>
      </c>
      <c r="F263" s="2">
        <v>7.2958014845374404</v>
      </c>
      <c r="G263" s="1"/>
      <c r="H263" s="2">
        <v>5.4317103116843102</v>
      </c>
      <c r="I263" s="2">
        <f>J263/0.5</f>
        <v>6.2465144237172199</v>
      </c>
      <c r="J263" s="2">
        <v>3.1232572118586099</v>
      </c>
      <c r="K263" s="1"/>
      <c r="L263" s="1">
        <v>3</v>
      </c>
      <c r="M263" s="1">
        <v>64</v>
      </c>
      <c r="N263" s="1"/>
      <c r="O263" s="1">
        <v>114</v>
      </c>
      <c r="P263" s="1">
        <f>Q263/0.5</f>
        <v>146</v>
      </c>
      <c r="Q263" s="1">
        <v>73</v>
      </c>
    </row>
    <row r="264" spans="2:17" x14ac:dyDescent="0.3">
      <c r="B264" s="5" t="s">
        <v>294</v>
      </c>
      <c r="C264" s="1" t="s">
        <v>1</v>
      </c>
      <c r="D264" s="2">
        <v>1.2932664665051199</v>
      </c>
      <c r="E264" s="2">
        <v>0.32371879793599501</v>
      </c>
      <c r="F264" s="1"/>
      <c r="G264" s="1"/>
      <c r="H264" s="2">
        <v>1.6894210042971199E-2</v>
      </c>
      <c r="I264" s="2"/>
      <c r="J264" s="1"/>
      <c r="K264" s="1">
        <v>32</v>
      </c>
      <c r="L264" s="1">
        <v>7</v>
      </c>
      <c r="M264" s="1"/>
      <c r="N264" s="1"/>
      <c r="O264" s="1">
        <v>1</v>
      </c>
      <c r="P264" s="1"/>
      <c r="Q264" s="1"/>
    </row>
    <row r="265" spans="2:17" x14ac:dyDescent="0.3">
      <c r="B265" s="5" t="s">
        <v>295</v>
      </c>
      <c r="C265" s="1" t="s">
        <v>1</v>
      </c>
      <c r="D265" s="1"/>
      <c r="E265" s="2">
        <v>6.2420472680278699E-2</v>
      </c>
      <c r="F265" s="1"/>
      <c r="G265" s="2">
        <v>7.72014300446572E-3</v>
      </c>
      <c r="H265" s="2">
        <v>6.4794560273909898</v>
      </c>
      <c r="I265" s="2"/>
      <c r="J265" s="1"/>
      <c r="K265" s="1"/>
      <c r="L265" s="1">
        <v>1</v>
      </c>
      <c r="M265" s="1"/>
      <c r="N265" s="1">
        <v>1</v>
      </c>
      <c r="O265" s="1">
        <v>62</v>
      </c>
      <c r="P265" s="1"/>
      <c r="Q265" s="1"/>
    </row>
    <row r="266" spans="2:17" x14ac:dyDescent="0.3">
      <c r="B266" s="5" t="s">
        <v>296</v>
      </c>
      <c r="C266" s="1" t="s">
        <v>1</v>
      </c>
      <c r="D266" s="1"/>
      <c r="E266" s="1"/>
      <c r="F266" s="2">
        <v>8.8956381103008404</v>
      </c>
      <c r="G266" s="2">
        <v>4.3563091698914501E-2</v>
      </c>
      <c r="H266" s="1"/>
      <c r="I266" s="1"/>
      <c r="J266" s="1"/>
      <c r="K266" s="1"/>
      <c r="L266" s="1"/>
      <c r="M266" s="1">
        <v>35</v>
      </c>
      <c r="N266" s="1">
        <v>1</v>
      </c>
      <c r="O266" s="1"/>
      <c r="P266" s="1"/>
      <c r="Q266" s="1"/>
    </row>
    <row r="267" spans="2:17" x14ac:dyDescent="0.3">
      <c r="B267" s="5" t="s">
        <v>297</v>
      </c>
      <c r="C267" s="1" t="s">
        <v>1</v>
      </c>
      <c r="D267" s="2">
        <v>0.11416145112406401</v>
      </c>
      <c r="E267" s="2">
        <v>0.168861827379788</v>
      </c>
      <c r="F267" s="1"/>
      <c r="G267" s="1"/>
      <c r="H267" s="1"/>
      <c r="I267" s="1"/>
      <c r="J267" s="1"/>
      <c r="K267" s="1">
        <v>2</v>
      </c>
      <c r="L267" s="1">
        <v>4</v>
      </c>
      <c r="M267" s="1"/>
      <c r="N267" s="1"/>
      <c r="O267" s="1"/>
      <c r="P267" s="1"/>
      <c r="Q267" s="1"/>
    </row>
    <row r="268" spans="2:17" x14ac:dyDescent="0.3">
      <c r="B268" s="5" t="s">
        <v>298</v>
      </c>
      <c r="C268" s="1" t="s">
        <v>1</v>
      </c>
      <c r="D268" s="1"/>
      <c r="E268" s="1"/>
      <c r="F268" s="2">
        <v>6.1361740741517998E-2</v>
      </c>
      <c r="G268" s="2">
        <v>9.4053760040081393E-3</v>
      </c>
      <c r="H268" s="2">
        <v>0.52675196112209899</v>
      </c>
      <c r="I268" s="2"/>
      <c r="J268" s="1"/>
      <c r="K268" s="1"/>
      <c r="L268" s="1"/>
      <c r="M268" s="1">
        <v>3</v>
      </c>
      <c r="N268" s="1">
        <v>1</v>
      </c>
      <c r="O268" s="1">
        <v>16</v>
      </c>
      <c r="P268" s="1"/>
      <c r="Q268" s="1"/>
    </row>
    <row r="269" spans="2:17" x14ac:dyDescent="0.3">
      <c r="B269" s="5" t="s">
        <v>299</v>
      </c>
      <c r="C269" s="1" t="s">
        <v>1</v>
      </c>
      <c r="D269" s="1"/>
      <c r="E269" s="1"/>
      <c r="F269" s="1"/>
      <c r="G269" s="1"/>
      <c r="H269" s="1"/>
      <c r="I269" s="2">
        <f>J269/0.5</f>
        <v>0.81162781664625605</v>
      </c>
      <c r="J269" s="2">
        <v>0.40581390832312803</v>
      </c>
      <c r="K269" s="1"/>
      <c r="L269" s="1"/>
      <c r="M269" s="1"/>
      <c r="N269" s="1"/>
      <c r="O269" s="1"/>
      <c r="P269" s="1">
        <f>Q269/0.5</f>
        <v>22</v>
      </c>
      <c r="Q269" s="1">
        <v>11</v>
      </c>
    </row>
    <row r="270" spans="2:17" x14ac:dyDescent="0.3">
      <c r="B270" s="5" t="s">
        <v>300</v>
      </c>
      <c r="C270" s="1" t="s">
        <v>1</v>
      </c>
      <c r="D270" s="2">
        <v>9.6957120427032303E-3</v>
      </c>
      <c r="E270" s="1"/>
      <c r="F270" s="1"/>
      <c r="G270" s="1"/>
      <c r="H270" s="1"/>
      <c r="I270" s="1"/>
      <c r="J270" s="1"/>
      <c r="K270" s="1">
        <v>1</v>
      </c>
      <c r="L270" s="1"/>
      <c r="M270" s="1"/>
      <c r="N270" s="1"/>
      <c r="O270" s="1"/>
      <c r="P270" s="1"/>
      <c r="Q270" s="1"/>
    </row>
    <row r="271" spans="2:17" x14ac:dyDescent="0.3">
      <c r="B271" s="5" t="s">
        <v>301</v>
      </c>
      <c r="C271" s="1" t="s">
        <v>1</v>
      </c>
      <c r="D271" s="2">
        <v>0.37466755891981202</v>
      </c>
      <c r="E271" s="1"/>
      <c r="F271" s="1"/>
      <c r="G271" s="1"/>
      <c r="H271" s="1"/>
      <c r="I271" s="1"/>
      <c r="J271" s="1"/>
      <c r="K271" s="1">
        <v>14</v>
      </c>
      <c r="L271" s="1"/>
      <c r="M271" s="1"/>
      <c r="N271" s="1"/>
      <c r="O271" s="1"/>
      <c r="P271" s="1"/>
      <c r="Q271" s="1"/>
    </row>
    <row r="272" spans="2:17" x14ac:dyDescent="0.3">
      <c r="B272" s="5" t="s">
        <v>302</v>
      </c>
      <c r="C272" s="1" t="s">
        <v>1</v>
      </c>
      <c r="D272" s="1"/>
      <c r="E272" s="1"/>
      <c r="F272" s="1"/>
      <c r="G272" s="1"/>
      <c r="H272" s="2">
        <v>1.20521161384386</v>
      </c>
      <c r="I272" s="2">
        <f>J272/0.5</f>
        <v>0.94802527166914996</v>
      </c>
      <c r="J272" s="2">
        <v>0.47401263583457498</v>
      </c>
      <c r="K272" s="1"/>
      <c r="L272" s="1"/>
      <c r="M272" s="1"/>
      <c r="N272" s="1"/>
      <c r="O272" s="1">
        <v>14</v>
      </c>
      <c r="P272" s="1">
        <f>Q272/0.5</f>
        <v>40</v>
      </c>
      <c r="Q272" s="1">
        <v>20</v>
      </c>
    </row>
    <row r="273" spans="1:17" x14ac:dyDescent="0.3">
      <c r="B273" s="5" t="s">
        <v>303</v>
      </c>
      <c r="C273" s="1" t="s">
        <v>1</v>
      </c>
      <c r="D273" s="1"/>
      <c r="E273" s="2">
        <v>0.16116632785599599</v>
      </c>
      <c r="F273" s="1"/>
      <c r="G273" s="1"/>
      <c r="H273" s="1"/>
      <c r="I273" s="1"/>
      <c r="J273" s="1"/>
      <c r="K273" s="1"/>
      <c r="L273" s="1">
        <v>6</v>
      </c>
      <c r="M273" s="1"/>
      <c r="N273" s="1"/>
      <c r="O273" s="1"/>
      <c r="P273" s="1"/>
      <c r="Q273" s="1"/>
    </row>
    <row r="274" spans="1:17" x14ac:dyDescent="0.3">
      <c r="B274" s="5" t="s">
        <v>304</v>
      </c>
      <c r="C274" s="1" t="s">
        <v>1</v>
      </c>
      <c r="D274" s="1"/>
      <c r="E274" s="1"/>
      <c r="F274" s="2">
        <v>0.35624924717642997</v>
      </c>
      <c r="G274" s="1"/>
      <c r="H274" s="1"/>
      <c r="I274" s="1"/>
      <c r="J274" s="1"/>
      <c r="K274" s="1"/>
      <c r="L274" s="1"/>
      <c r="M274" s="1">
        <v>22</v>
      </c>
      <c r="N274" s="1"/>
      <c r="O274" s="1"/>
      <c r="P274" s="1"/>
      <c r="Q274" s="1"/>
    </row>
    <row r="275" spans="1:17" x14ac:dyDescent="0.3">
      <c r="B275" s="5" t="s">
        <v>305</v>
      </c>
      <c r="C275" s="1" t="s">
        <v>1</v>
      </c>
      <c r="D275" s="1"/>
      <c r="E275" s="1"/>
      <c r="F275" s="1"/>
      <c r="G275" s="1"/>
      <c r="H275" s="2">
        <v>0.45718124463138199</v>
      </c>
      <c r="I275" s="2"/>
      <c r="J275" s="1"/>
      <c r="K275" s="1"/>
      <c r="L275" s="1"/>
      <c r="M275" s="1"/>
      <c r="N275" s="1"/>
      <c r="O275" s="1">
        <v>12</v>
      </c>
      <c r="P275" s="1"/>
      <c r="Q275" s="1"/>
    </row>
    <row r="276" spans="1:17" x14ac:dyDescent="0.3">
      <c r="B276" s="5" t="s">
        <v>306</v>
      </c>
      <c r="C276" s="1" t="s">
        <v>1</v>
      </c>
      <c r="D276" s="1"/>
      <c r="E276" s="1"/>
      <c r="F276" s="1"/>
      <c r="G276" s="2">
        <v>0.21977397509312999</v>
      </c>
      <c r="H276" s="1"/>
      <c r="I276" s="1"/>
      <c r="J276" s="1"/>
      <c r="K276" s="1"/>
      <c r="L276" s="1"/>
      <c r="M276" s="1"/>
      <c r="N276" s="1">
        <v>4</v>
      </c>
      <c r="O276" s="1"/>
      <c r="P276" s="1"/>
      <c r="Q276" s="1"/>
    </row>
    <row r="277" spans="1:17" x14ac:dyDescent="0.3">
      <c r="B277" s="5" t="s">
        <v>307</v>
      </c>
      <c r="C277" s="1" t="s">
        <v>1</v>
      </c>
      <c r="D277" s="1"/>
      <c r="E277" s="1"/>
      <c r="F277" s="2">
        <v>1.0075812306275401E-2</v>
      </c>
      <c r="G277" s="1"/>
      <c r="H277" s="1"/>
      <c r="I277" s="2">
        <f>J277/0.5</f>
        <v>0.32562056496614</v>
      </c>
      <c r="J277" s="2">
        <v>0.16281028248307</v>
      </c>
      <c r="K277" s="1"/>
      <c r="L277" s="1"/>
      <c r="M277" s="1">
        <v>1</v>
      </c>
      <c r="N277" s="1"/>
      <c r="O277" s="1"/>
      <c r="P277" s="1">
        <f>Q277/0.5</f>
        <v>4</v>
      </c>
      <c r="Q277" s="1">
        <v>2</v>
      </c>
    </row>
    <row r="278" spans="1:17" x14ac:dyDescent="0.3">
      <c r="B278" s="5" t="s">
        <v>308</v>
      </c>
      <c r="C278" s="1" t="s">
        <v>1</v>
      </c>
      <c r="D278" s="1"/>
      <c r="E278" s="2">
        <v>1.07356907281922E-2</v>
      </c>
      <c r="F278" s="1"/>
      <c r="G278" s="1"/>
      <c r="H278" s="1"/>
      <c r="I278" s="1"/>
      <c r="J278" s="1"/>
      <c r="K278" s="1"/>
      <c r="L278" s="1">
        <v>1</v>
      </c>
      <c r="M278" s="1"/>
      <c r="N278" s="1"/>
      <c r="O278" s="1"/>
      <c r="P278" s="1"/>
      <c r="Q278" s="1"/>
    </row>
    <row r="279" spans="1:17" x14ac:dyDescent="0.3">
      <c r="B279" s="5" t="s">
        <v>309</v>
      </c>
      <c r="C279" s="1" t="s">
        <v>1</v>
      </c>
      <c r="D279" s="1"/>
      <c r="E279" s="1"/>
      <c r="F279" s="1"/>
      <c r="G279" s="1"/>
      <c r="H279" s="2">
        <v>5.4932873354770102E-2</v>
      </c>
      <c r="I279" s="2"/>
      <c r="J279" s="1"/>
      <c r="K279" s="1"/>
      <c r="L279" s="1"/>
      <c r="M279" s="1"/>
      <c r="N279" s="1"/>
      <c r="O279" s="1">
        <v>1</v>
      </c>
      <c r="P279" s="1"/>
      <c r="Q279" s="1"/>
    </row>
    <row r="280" spans="1:17" x14ac:dyDescent="0.3">
      <c r="B280" s="5" t="s">
        <v>310</v>
      </c>
      <c r="C280" s="1" t="s">
        <v>1</v>
      </c>
      <c r="D280" s="1"/>
      <c r="E280" s="1"/>
      <c r="F280" s="1"/>
      <c r="G280" s="1"/>
      <c r="H280" s="2">
        <v>0.21237460623705801</v>
      </c>
      <c r="I280" s="2"/>
      <c r="J280" s="1"/>
      <c r="K280" s="1"/>
      <c r="L280" s="1"/>
      <c r="M280" s="1"/>
      <c r="N280" s="1"/>
      <c r="O280" s="1">
        <v>3</v>
      </c>
      <c r="P280" s="1"/>
      <c r="Q280" s="1"/>
    </row>
    <row r="281" spans="1:17" x14ac:dyDescent="0.3">
      <c r="B281" s="5" t="s">
        <v>311</v>
      </c>
      <c r="C281" s="1" t="s">
        <v>1</v>
      </c>
      <c r="D281" s="2">
        <v>1.5715115435510602E-2</v>
      </c>
      <c r="E281" s="1"/>
      <c r="F281" s="1"/>
      <c r="G281" s="1"/>
      <c r="H281" s="1"/>
      <c r="I281" s="1"/>
      <c r="J281" s="1"/>
      <c r="K281" s="1">
        <v>1</v>
      </c>
      <c r="L281" s="1"/>
      <c r="M281" s="1"/>
      <c r="N281" s="1"/>
      <c r="O281" s="1"/>
      <c r="P281" s="1"/>
      <c r="Q281" s="1"/>
    </row>
    <row r="282" spans="1:17" x14ac:dyDescent="0.3">
      <c r="B282" s="5" t="s">
        <v>312</v>
      </c>
      <c r="C282" s="1" t="s">
        <v>1</v>
      </c>
      <c r="D282" s="1"/>
      <c r="E282" s="1"/>
      <c r="F282" s="1"/>
      <c r="G282" s="1"/>
      <c r="H282" s="1"/>
      <c r="I282" s="2">
        <f>J282/0.5</f>
        <v>0.16728366594867161</v>
      </c>
      <c r="J282" s="2">
        <v>8.3641832974335806E-2</v>
      </c>
      <c r="K282" s="1"/>
      <c r="L282" s="1"/>
      <c r="M282" s="1"/>
      <c r="N282" s="1"/>
      <c r="O282" s="1"/>
      <c r="P282" s="1">
        <f>Q282/0.5</f>
        <v>10</v>
      </c>
      <c r="Q282" s="1">
        <v>5</v>
      </c>
    </row>
    <row r="283" spans="1:17" x14ac:dyDescent="0.3">
      <c r="B283" s="5" t="s">
        <v>313</v>
      </c>
      <c r="C283" s="1" t="s">
        <v>1</v>
      </c>
      <c r="D283" s="1"/>
      <c r="E283" s="1"/>
      <c r="F283" s="1"/>
      <c r="G283" s="1"/>
      <c r="H283" s="2">
        <v>0.112669304807874</v>
      </c>
      <c r="I283" s="2"/>
      <c r="J283" s="1"/>
      <c r="K283" s="1"/>
      <c r="L283" s="1"/>
      <c r="M283" s="1"/>
      <c r="N283" s="1"/>
      <c r="O283" s="1">
        <v>6</v>
      </c>
      <c r="P283" s="1"/>
      <c r="Q283" s="1"/>
    </row>
    <row r="284" spans="1:17" x14ac:dyDescent="0.3">
      <c r="B284" s="5" t="s">
        <v>314</v>
      </c>
      <c r="C284" s="1" t="s">
        <v>1</v>
      </c>
      <c r="D284" s="1"/>
      <c r="E284" s="1"/>
      <c r="F284" s="2">
        <v>0.12596351499300701</v>
      </c>
      <c r="G284" s="2">
        <v>0.11188062664543499</v>
      </c>
      <c r="H284" s="2">
        <v>3.3174335608653203E-2</v>
      </c>
      <c r="I284" s="2"/>
      <c r="J284" s="1"/>
      <c r="K284" s="1"/>
      <c r="L284" s="1"/>
      <c r="M284" s="1">
        <v>9</v>
      </c>
      <c r="N284" s="1">
        <v>10</v>
      </c>
      <c r="O284" s="1">
        <v>1</v>
      </c>
      <c r="P284" s="1"/>
      <c r="Q284" s="1"/>
    </row>
    <row r="285" spans="1:17" x14ac:dyDescent="0.3">
      <c r="A285" s="1" t="s">
        <v>38</v>
      </c>
      <c r="B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3">
      <c r="B286" s="5" t="s">
        <v>315</v>
      </c>
      <c r="C286" s="1" t="s">
        <v>1</v>
      </c>
      <c r="D286" s="2">
        <v>3.1323624410847302</v>
      </c>
      <c r="E286" s="2">
        <v>1.6830142311605002E-2</v>
      </c>
      <c r="F286" s="1"/>
      <c r="G286" s="1"/>
      <c r="H286" s="2">
        <v>1.6265392854554001E-2</v>
      </c>
      <c r="I286" s="2"/>
      <c r="J286" s="1"/>
      <c r="K286" s="1">
        <v>6</v>
      </c>
      <c r="L286" s="1">
        <v>3</v>
      </c>
      <c r="M286" s="1"/>
      <c r="N286" s="1"/>
      <c r="O286" s="1">
        <v>1</v>
      </c>
      <c r="P286" s="1"/>
      <c r="Q286" s="1"/>
    </row>
    <row r="287" spans="1:17" x14ac:dyDescent="0.3">
      <c r="A287" s="1" t="s">
        <v>39</v>
      </c>
      <c r="B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3">
      <c r="B288" s="5" t="s">
        <v>316</v>
      </c>
      <c r="C288" s="1" t="s">
        <v>1</v>
      </c>
      <c r="D288" s="2">
        <v>3.7382250457268999E-2</v>
      </c>
      <c r="E288" s="1"/>
      <c r="F288" s="1"/>
      <c r="G288" s="1"/>
      <c r="H288" s="1"/>
      <c r="I288" s="1"/>
      <c r="J288" s="1"/>
      <c r="K288" s="1">
        <v>1</v>
      </c>
      <c r="L288" s="1"/>
      <c r="M288" s="1"/>
      <c r="N288" s="1"/>
      <c r="O288" s="1"/>
      <c r="P288" s="1"/>
      <c r="Q288" s="1"/>
    </row>
    <row r="289" spans="1:17" x14ac:dyDescent="0.3">
      <c r="B289" s="5" t="s">
        <v>317</v>
      </c>
      <c r="C289" s="1" t="s">
        <v>1</v>
      </c>
      <c r="D289" s="1"/>
      <c r="E289" s="2">
        <v>0.23649984905590901</v>
      </c>
      <c r="F289" s="1"/>
      <c r="G289" s="1"/>
      <c r="H289" s="1"/>
      <c r="I289" s="1"/>
      <c r="J289" s="1"/>
      <c r="K289" s="1"/>
      <c r="L289" s="1">
        <v>7</v>
      </c>
      <c r="M289" s="1"/>
      <c r="N289" s="1"/>
      <c r="O289" s="1"/>
      <c r="P289" s="1"/>
      <c r="Q289" s="1"/>
    </row>
    <row r="290" spans="1:17" x14ac:dyDescent="0.3">
      <c r="A290" s="1" t="s">
        <v>40</v>
      </c>
      <c r="B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3">
      <c r="B291" s="5" t="s">
        <v>318</v>
      </c>
      <c r="C291" s="1" t="s">
        <v>1</v>
      </c>
      <c r="D291" s="1"/>
      <c r="E291" s="2">
        <v>1.38240748041714</v>
      </c>
      <c r="F291" s="1"/>
      <c r="G291" s="1"/>
      <c r="H291" s="1"/>
      <c r="I291" s="1"/>
      <c r="J291" s="1"/>
      <c r="K291" s="1"/>
      <c r="L291" s="1">
        <v>6</v>
      </c>
      <c r="M291" s="1"/>
      <c r="N291" s="1"/>
      <c r="O291" s="1"/>
      <c r="P291" s="1"/>
      <c r="Q291" s="1"/>
    </row>
    <row r="292" spans="1:17" x14ac:dyDescent="0.3">
      <c r="A292" s="1" t="s">
        <v>41</v>
      </c>
      <c r="B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3">
      <c r="B293" s="5" t="s">
        <v>319</v>
      </c>
      <c r="C293" s="1" t="s">
        <v>1</v>
      </c>
      <c r="D293" s="1"/>
      <c r="E293" s="1"/>
      <c r="F293" s="1"/>
      <c r="G293" s="1"/>
      <c r="H293" s="1"/>
      <c r="I293" s="2">
        <f>J293/0.5</f>
        <v>0.32662673629219802</v>
      </c>
      <c r="J293" s="2">
        <v>0.16331336814609901</v>
      </c>
      <c r="K293" s="1"/>
      <c r="L293" s="1"/>
      <c r="M293" s="1"/>
      <c r="N293" s="1"/>
      <c r="O293" s="1"/>
      <c r="P293" s="1">
        <f>Q293/0.5</f>
        <v>4</v>
      </c>
      <c r="Q293" s="1">
        <v>2</v>
      </c>
    </row>
    <row r="294" spans="1:17" x14ac:dyDescent="0.3">
      <c r="A294" s="1" t="s">
        <v>42</v>
      </c>
      <c r="B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3">
      <c r="B295" s="5" t="s">
        <v>320</v>
      </c>
      <c r="C295" s="1" t="s">
        <v>1</v>
      </c>
      <c r="D295" s="1"/>
      <c r="E295" s="2">
        <v>0.73072732692316</v>
      </c>
      <c r="F295" s="1"/>
      <c r="G295" s="1"/>
      <c r="H295" s="1"/>
      <c r="I295" s="1"/>
      <c r="J295" s="1"/>
      <c r="K295" s="1"/>
      <c r="L295" s="1">
        <v>2</v>
      </c>
      <c r="M295" s="1"/>
      <c r="N295" s="1"/>
      <c r="O295" s="1"/>
      <c r="P295" s="1"/>
      <c r="Q295" s="1"/>
    </row>
    <row r="296" spans="1:17" x14ac:dyDescent="0.3">
      <c r="A296" s="1" t="s">
        <v>43</v>
      </c>
      <c r="B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3">
      <c r="B297" s="5" t="s">
        <v>321</v>
      </c>
      <c r="C297" s="1" t="s">
        <v>1</v>
      </c>
      <c r="D297" s="1"/>
      <c r="E297" s="2">
        <v>0.12795198245672701</v>
      </c>
      <c r="F297" s="1"/>
      <c r="G297" s="1"/>
      <c r="H297" s="1"/>
      <c r="I297" s="1"/>
      <c r="J297" s="1"/>
      <c r="K297" s="1"/>
      <c r="L297" s="1">
        <v>2</v>
      </c>
      <c r="M297" s="1"/>
      <c r="N297" s="1"/>
      <c r="O297" s="1"/>
      <c r="P297" s="1"/>
      <c r="Q297" s="1"/>
    </row>
    <row r="298" spans="1:17" x14ac:dyDescent="0.3">
      <c r="A298" s="1" t="s">
        <v>44</v>
      </c>
      <c r="B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3">
      <c r="B299" s="5" t="s">
        <v>322</v>
      </c>
      <c r="C299" s="1" t="s">
        <v>1</v>
      </c>
      <c r="D299" s="1"/>
      <c r="E299" s="1"/>
      <c r="F299" s="2">
        <v>0.100415283346943</v>
      </c>
      <c r="G299" s="1"/>
      <c r="H299" s="1"/>
      <c r="I299" s="1"/>
      <c r="J299" s="1"/>
      <c r="K299" s="1"/>
      <c r="L299" s="1"/>
      <c r="M299" s="1">
        <v>2</v>
      </c>
      <c r="N299" s="1"/>
      <c r="O299" s="1"/>
      <c r="P299" s="1"/>
      <c r="Q299" s="1"/>
    </row>
    <row r="300" spans="1:17" x14ac:dyDescent="0.3">
      <c r="B300" s="5" t="s">
        <v>323</v>
      </c>
      <c r="C300" s="1" t="s">
        <v>1</v>
      </c>
      <c r="D300" s="1"/>
      <c r="E300" s="1"/>
      <c r="F300" s="2">
        <v>0.61903122277158096</v>
      </c>
      <c r="G300" s="1"/>
      <c r="H300" s="2">
        <v>0.10389748734302</v>
      </c>
      <c r="I300" s="2"/>
      <c r="J300" s="1"/>
      <c r="K300" s="1"/>
      <c r="L300" s="1"/>
      <c r="M300" s="1">
        <v>22</v>
      </c>
      <c r="N300" s="1"/>
      <c r="O300" s="1">
        <v>2</v>
      </c>
      <c r="P300" s="1"/>
      <c r="Q300" s="1"/>
    </row>
    <row r="301" spans="1:17" x14ac:dyDescent="0.3">
      <c r="B301" s="5" t="s">
        <v>324</v>
      </c>
      <c r="C301" s="1" t="s">
        <v>1</v>
      </c>
      <c r="D301" s="2">
        <v>6.9622905964778397E-3</v>
      </c>
      <c r="E301" s="1"/>
      <c r="F301" s="1"/>
      <c r="G301" s="1"/>
      <c r="H301" s="1"/>
      <c r="I301" s="1"/>
      <c r="J301" s="1"/>
      <c r="K301" s="1">
        <v>1</v>
      </c>
      <c r="L301" s="1"/>
      <c r="M301" s="1"/>
      <c r="N301" s="1"/>
      <c r="O301" s="1"/>
      <c r="P301" s="1"/>
      <c r="Q301" s="1"/>
    </row>
    <row r="302" spans="1:17" x14ac:dyDescent="0.3">
      <c r="B302" s="5" t="s">
        <v>325</v>
      </c>
      <c r="C302" s="1" t="s">
        <v>1</v>
      </c>
      <c r="D302" s="1"/>
      <c r="E302" s="1"/>
      <c r="F302" s="2">
        <v>0.10572621662248</v>
      </c>
      <c r="G302" s="1"/>
      <c r="H302" s="1"/>
      <c r="I302" s="1"/>
      <c r="J302" s="1"/>
      <c r="K302" s="1"/>
      <c r="L302" s="1"/>
      <c r="M302" s="1">
        <v>4</v>
      </c>
      <c r="N302" s="1"/>
      <c r="O302" s="1"/>
      <c r="P302" s="1"/>
      <c r="Q302" s="1"/>
    </row>
    <row r="303" spans="1:17" x14ac:dyDescent="0.3">
      <c r="B303" s="5" t="s">
        <v>326</v>
      </c>
      <c r="C303" s="1" t="s">
        <v>1</v>
      </c>
      <c r="D303" s="2">
        <v>8.9366735403572595E-2</v>
      </c>
      <c r="E303" s="1"/>
      <c r="F303" s="1"/>
      <c r="G303" s="1"/>
      <c r="H303" s="1"/>
      <c r="I303" s="1"/>
      <c r="J303" s="1"/>
      <c r="K303" s="1">
        <v>1</v>
      </c>
      <c r="L303" s="1"/>
      <c r="M303" s="1"/>
      <c r="N303" s="1"/>
      <c r="O303" s="1"/>
      <c r="P303" s="1"/>
      <c r="Q303" s="1"/>
    </row>
    <row r="304" spans="1:17" x14ac:dyDescent="0.3">
      <c r="A304" s="1" t="s">
        <v>45</v>
      </c>
      <c r="B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3">
      <c r="B305" s="5" t="s">
        <v>327</v>
      </c>
      <c r="C305" s="1" t="s">
        <v>5</v>
      </c>
      <c r="D305" s="1"/>
      <c r="E305" s="1"/>
      <c r="F305" s="2">
        <v>92.940448183523202</v>
      </c>
      <c r="G305" s="2">
        <v>33.499852025743401</v>
      </c>
      <c r="H305" s="2">
        <v>6.64489299441514</v>
      </c>
      <c r="I305" s="2">
        <f>J305/0.5</f>
        <v>118.4802463963524</v>
      </c>
      <c r="J305" s="2">
        <v>59.2401231981762</v>
      </c>
      <c r="K305" s="1"/>
      <c r="L305" s="1"/>
      <c r="M305" s="1">
        <v>53</v>
      </c>
      <c r="N305" s="1">
        <v>59</v>
      </c>
      <c r="O305" s="1">
        <v>34</v>
      </c>
      <c r="P305" s="1">
        <f>Q305/0.5</f>
        <v>478</v>
      </c>
      <c r="Q305" s="1">
        <v>239</v>
      </c>
    </row>
    <row r="306" spans="1:17" x14ac:dyDescent="0.3">
      <c r="A306" s="1" t="s">
        <v>46</v>
      </c>
      <c r="B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3">
      <c r="B307" s="5" t="s">
        <v>328</v>
      </c>
      <c r="C307" s="1" t="s">
        <v>1</v>
      </c>
      <c r="D307" s="2">
        <v>1.74357654143804</v>
      </c>
      <c r="E307" s="1"/>
      <c r="F307" s="1"/>
      <c r="G307" s="1"/>
      <c r="H307" s="1"/>
      <c r="I307" s="1"/>
      <c r="J307" s="1"/>
      <c r="K307" s="1">
        <v>16</v>
      </c>
      <c r="L307" s="1"/>
      <c r="M307" s="1"/>
      <c r="N307" s="1"/>
      <c r="O307" s="1"/>
      <c r="P307" s="1"/>
      <c r="Q307" s="1"/>
    </row>
    <row r="308" spans="1:17" x14ac:dyDescent="0.3">
      <c r="A308" s="1" t="s">
        <v>47</v>
      </c>
      <c r="B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3">
      <c r="B309" s="5" t="s">
        <v>329</v>
      </c>
      <c r="C309" s="1" t="s">
        <v>1</v>
      </c>
      <c r="D309" s="1"/>
      <c r="E309" s="1"/>
      <c r="F309" s="2">
        <v>1.3785073544855999</v>
      </c>
      <c r="G309" s="1"/>
      <c r="H309" s="1"/>
      <c r="I309" s="2">
        <f t="shared" ref="I309:I312" si="2">J309/0.5</f>
        <v>0.70472064352983999</v>
      </c>
      <c r="J309" s="2">
        <v>0.35236032176491999</v>
      </c>
      <c r="K309" s="1"/>
      <c r="L309" s="1"/>
      <c r="M309" s="1">
        <v>6</v>
      </c>
      <c r="N309" s="1"/>
      <c r="O309" s="1"/>
      <c r="P309" s="1">
        <f t="shared" ref="P309:P312" si="3">Q309/0.5</f>
        <v>12</v>
      </c>
      <c r="Q309" s="1">
        <v>6</v>
      </c>
    </row>
    <row r="310" spans="1:17" x14ac:dyDescent="0.3">
      <c r="B310" s="5" t="s">
        <v>330</v>
      </c>
      <c r="C310" s="1" t="s">
        <v>1</v>
      </c>
      <c r="D310" s="1"/>
      <c r="E310" s="1"/>
      <c r="F310" s="1"/>
      <c r="G310" s="1"/>
      <c r="H310" s="1"/>
      <c r="I310" s="2">
        <f t="shared" si="2"/>
        <v>1.514986191450576</v>
      </c>
      <c r="J310" s="2">
        <v>0.757493095725288</v>
      </c>
      <c r="K310" s="1"/>
      <c r="L310" s="1"/>
      <c r="M310" s="1"/>
      <c r="N310" s="1"/>
      <c r="O310" s="1"/>
      <c r="P310" s="1">
        <f t="shared" si="3"/>
        <v>14</v>
      </c>
      <c r="Q310" s="1">
        <v>7</v>
      </c>
    </row>
    <row r="311" spans="1:17" x14ac:dyDescent="0.3">
      <c r="B311" s="5" t="s">
        <v>331</v>
      </c>
      <c r="C311" s="1" t="s">
        <v>1</v>
      </c>
      <c r="D311" s="1"/>
      <c r="E311" s="1"/>
      <c r="F311" s="1"/>
      <c r="G311" s="1"/>
      <c r="H311" s="1"/>
      <c r="I311" s="2">
        <f t="shared" si="2"/>
        <v>1.0700789040046821</v>
      </c>
      <c r="J311" s="2">
        <v>0.53503945200234104</v>
      </c>
      <c r="K311" s="1"/>
      <c r="L311" s="1"/>
      <c r="M311" s="1"/>
      <c r="N311" s="1"/>
      <c r="O311" s="1"/>
      <c r="P311" s="1">
        <f t="shared" si="3"/>
        <v>10</v>
      </c>
      <c r="Q311" s="1">
        <v>5</v>
      </c>
    </row>
    <row r="312" spans="1:17" x14ac:dyDescent="0.3">
      <c r="B312" s="5" t="s">
        <v>332</v>
      </c>
      <c r="C312" s="1" t="s">
        <v>1</v>
      </c>
      <c r="D312" s="1"/>
      <c r="E312" s="2">
        <v>9.8237699068329E-3</v>
      </c>
      <c r="F312" s="2">
        <v>16.676271874165199</v>
      </c>
      <c r="G312" s="2">
        <v>6.3115579849861101</v>
      </c>
      <c r="H312" s="2">
        <v>1.8978007416225899</v>
      </c>
      <c r="I312" s="2">
        <f t="shared" si="2"/>
        <v>11.969082731662921</v>
      </c>
      <c r="J312" s="2">
        <v>5.9845413658314603</v>
      </c>
      <c r="K312" s="1"/>
      <c r="L312" s="1">
        <v>1</v>
      </c>
      <c r="M312" s="1">
        <v>106</v>
      </c>
      <c r="N312" s="1">
        <v>80</v>
      </c>
      <c r="O312" s="1">
        <v>44</v>
      </c>
      <c r="P312" s="1">
        <f t="shared" si="3"/>
        <v>210</v>
      </c>
      <c r="Q312" s="1">
        <v>105</v>
      </c>
    </row>
    <row r="313" spans="1:17" x14ac:dyDescent="0.3">
      <c r="B313" s="5" t="s">
        <v>333</v>
      </c>
      <c r="C313" s="1" t="s">
        <v>1</v>
      </c>
      <c r="D313" s="1"/>
      <c r="E313" s="2">
        <v>0.198229062815347</v>
      </c>
      <c r="F313" s="1"/>
      <c r="G313" s="1"/>
      <c r="H313" s="1"/>
      <c r="I313" s="1"/>
      <c r="J313" s="1"/>
      <c r="K313" s="1"/>
      <c r="L313" s="1">
        <v>7</v>
      </c>
      <c r="M313" s="1"/>
      <c r="N313" s="1"/>
      <c r="O313" s="1"/>
      <c r="P313" s="1"/>
      <c r="Q313" s="1"/>
    </row>
    <row r="314" spans="1:17" x14ac:dyDescent="0.3">
      <c r="B314" s="5" t="s">
        <v>334</v>
      </c>
      <c r="C314" s="1" t="s">
        <v>1</v>
      </c>
      <c r="D314" s="2">
        <v>0.163400714356676</v>
      </c>
      <c r="E314" s="2">
        <v>0.18092662683896499</v>
      </c>
      <c r="F314" s="1"/>
      <c r="G314" s="1"/>
      <c r="H314" s="1"/>
      <c r="I314" s="1"/>
      <c r="J314" s="1"/>
      <c r="K314" s="1">
        <v>11</v>
      </c>
      <c r="L314" s="1">
        <v>3</v>
      </c>
      <c r="M314" s="1"/>
      <c r="N314" s="1"/>
      <c r="O314" s="1"/>
      <c r="P314" s="1"/>
      <c r="Q314" s="1"/>
    </row>
    <row r="315" spans="1:17" x14ac:dyDescent="0.3">
      <c r="A315" s="1" t="s">
        <v>48</v>
      </c>
      <c r="B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3">
      <c r="B316" s="5" t="s">
        <v>335</v>
      </c>
      <c r="C316" s="1" t="s">
        <v>1</v>
      </c>
      <c r="D316" s="2">
        <v>1.21471011773847</v>
      </c>
      <c r="E316" s="1"/>
      <c r="F316" s="1"/>
      <c r="G316" s="1"/>
      <c r="H316" s="1"/>
      <c r="I316" s="1"/>
      <c r="J316" s="1"/>
      <c r="K316" s="1">
        <v>9</v>
      </c>
      <c r="L316" s="1"/>
      <c r="M316" s="1"/>
      <c r="N316" s="1"/>
      <c r="O316" s="1"/>
      <c r="P316" s="1"/>
      <c r="Q316" s="1"/>
    </row>
    <row r="317" spans="1:17" x14ac:dyDescent="0.3">
      <c r="B317" s="5" t="s">
        <v>336</v>
      </c>
      <c r="C317" s="1" t="s">
        <v>1</v>
      </c>
      <c r="D317" s="1"/>
      <c r="E317" s="1"/>
      <c r="F317" s="2">
        <v>1.1790797704230801E-2</v>
      </c>
      <c r="G317" s="2">
        <v>7.4900801962550102E-3</v>
      </c>
      <c r="H317" s="2">
        <v>2.5314705012398</v>
      </c>
      <c r="I317" s="2"/>
      <c r="J317" s="1"/>
      <c r="K317" s="1"/>
      <c r="L317" s="1"/>
      <c r="M317" s="1">
        <v>1</v>
      </c>
      <c r="N317" s="1">
        <v>1</v>
      </c>
      <c r="O317" s="1">
        <v>60</v>
      </c>
      <c r="P317" s="1"/>
      <c r="Q317" s="1"/>
    </row>
    <row r="318" spans="1:17" x14ac:dyDescent="0.3">
      <c r="A318" s="1" t="s">
        <v>49</v>
      </c>
      <c r="B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3">
      <c r="B319" s="5" t="s">
        <v>337</v>
      </c>
      <c r="C319" s="1" t="s">
        <v>1</v>
      </c>
      <c r="D319" s="1"/>
      <c r="E319" s="2">
        <v>0.198663004306808</v>
      </c>
      <c r="F319" s="1"/>
      <c r="G319" s="1"/>
      <c r="H319" s="1"/>
      <c r="I319" s="1"/>
      <c r="J319" s="1"/>
      <c r="K319" s="1"/>
      <c r="L319" s="1">
        <v>2</v>
      </c>
      <c r="M319" s="1"/>
      <c r="N319" s="1"/>
      <c r="O319" s="1"/>
      <c r="P319" s="1"/>
      <c r="Q319" s="1"/>
    </row>
    <row r="320" spans="1:17" x14ac:dyDescent="0.3">
      <c r="B320" s="5" t="s">
        <v>338</v>
      </c>
      <c r="C320" s="1" t="s">
        <v>1</v>
      </c>
      <c r="D320" s="1"/>
      <c r="E320" s="2">
        <v>0.16337394486201501</v>
      </c>
      <c r="F320" s="1"/>
      <c r="G320" s="1"/>
      <c r="H320" s="1"/>
      <c r="I320" s="1"/>
      <c r="J320" s="1"/>
      <c r="K320" s="1"/>
      <c r="L320" s="1">
        <v>7</v>
      </c>
      <c r="M320" s="1"/>
      <c r="N320" s="1"/>
      <c r="O320" s="1"/>
      <c r="P320" s="1"/>
      <c r="Q320" s="1"/>
    </row>
    <row r="321" spans="1:17" x14ac:dyDescent="0.3">
      <c r="B321" s="5" t="s">
        <v>339</v>
      </c>
      <c r="C321" s="1" t="s">
        <v>5</v>
      </c>
      <c r="D321" s="1"/>
      <c r="E321" s="1"/>
      <c r="F321" s="2">
        <v>0.16949502465678601</v>
      </c>
      <c r="G321" s="2">
        <v>0.710173314212871</v>
      </c>
      <c r="H321" s="2">
        <v>3.1060413648690902E-2</v>
      </c>
      <c r="I321" s="2">
        <f>J321/0.5</f>
        <v>9.7528449323020197E-2</v>
      </c>
      <c r="J321" s="2">
        <v>4.8764224661510099E-2</v>
      </c>
      <c r="K321" s="1"/>
      <c r="L321" s="1"/>
      <c r="M321" s="1">
        <v>6</v>
      </c>
      <c r="N321" s="1">
        <v>10</v>
      </c>
      <c r="O321" s="1">
        <v>3</v>
      </c>
      <c r="P321" s="1">
        <f>Q321/0.5</f>
        <v>10</v>
      </c>
      <c r="Q321" s="1">
        <v>5</v>
      </c>
    </row>
    <row r="322" spans="1:17" x14ac:dyDescent="0.3">
      <c r="A322" s="1" t="s">
        <v>50</v>
      </c>
      <c r="B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3">
      <c r="B323" s="5" t="s">
        <v>340</v>
      </c>
      <c r="C323" s="1" t="s">
        <v>5</v>
      </c>
      <c r="D323" s="2">
        <v>9.4658114493008902</v>
      </c>
      <c r="E323" s="2">
        <v>0.42450781901885198</v>
      </c>
      <c r="F323" s="2">
        <v>12.6598488682771</v>
      </c>
      <c r="G323" s="2">
        <v>5.3540974156082903</v>
      </c>
      <c r="H323" s="2">
        <v>1.5285961107143</v>
      </c>
      <c r="I323" s="2">
        <f>J323/0.5</f>
        <v>0.96716912312432801</v>
      </c>
      <c r="J323" s="2">
        <v>0.48358456156216401</v>
      </c>
      <c r="K323" s="1">
        <v>40</v>
      </c>
      <c r="L323" s="1">
        <v>10</v>
      </c>
      <c r="M323" s="1">
        <v>94</v>
      </c>
      <c r="N323" s="1">
        <v>74</v>
      </c>
      <c r="O323" s="1">
        <v>23</v>
      </c>
      <c r="P323" s="1">
        <f>Q323/0.5</f>
        <v>16</v>
      </c>
      <c r="Q323" s="1">
        <v>8</v>
      </c>
    </row>
    <row r="324" spans="1:17" x14ac:dyDescent="0.3">
      <c r="A324" s="1" t="s">
        <v>51</v>
      </c>
      <c r="B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3">
      <c r="B325" s="5" t="s">
        <v>341</v>
      </c>
      <c r="C325" s="1" t="s">
        <v>1</v>
      </c>
      <c r="D325" s="1"/>
      <c r="E325" s="2">
        <v>0.16933020585515601</v>
      </c>
      <c r="F325" s="1"/>
      <c r="G325" s="1"/>
      <c r="H325" s="1"/>
      <c r="I325" s="1"/>
      <c r="J325" s="1"/>
      <c r="K325" s="1"/>
      <c r="L325" s="1">
        <v>7</v>
      </c>
      <c r="M325" s="1"/>
      <c r="N325" s="1"/>
      <c r="O325" s="1"/>
      <c r="P325" s="1"/>
      <c r="Q325" s="1"/>
    </row>
    <row r="326" spans="1:17" x14ac:dyDescent="0.3">
      <c r="B326" s="5" t="s">
        <v>342</v>
      </c>
      <c r="C326" s="1" t="s">
        <v>1</v>
      </c>
      <c r="D326" s="2">
        <v>9.9471674859145598E-2</v>
      </c>
      <c r="E326" s="2">
        <v>3.1031845143081899E-2</v>
      </c>
      <c r="F326" s="1"/>
      <c r="G326" s="1"/>
      <c r="H326" s="1"/>
      <c r="I326" s="1"/>
      <c r="J326" s="1"/>
      <c r="K326" s="1">
        <v>9</v>
      </c>
      <c r="L326" s="1">
        <v>3</v>
      </c>
      <c r="M326" s="1"/>
      <c r="N326" s="1"/>
      <c r="O326" s="1"/>
      <c r="P326" s="1"/>
      <c r="Q326" s="1"/>
    </row>
    <row r="327" spans="1:17" x14ac:dyDescent="0.3">
      <c r="B327" s="5" t="s">
        <v>343</v>
      </c>
      <c r="C327" s="1" t="s">
        <v>1</v>
      </c>
      <c r="D327" s="1"/>
      <c r="E327" s="2">
        <v>5.0269430308303699E-2</v>
      </c>
      <c r="F327" s="1"/>
      <c r="G327" s="1"/>
      <c r="H327" s="1"/>
      <c r="I327" s="1"/>
      <c r="J327" s="1"/>
      <c r="K327" s="1"/>
      <c r="L327" s="1">
        <v>1</v>
      </c>
      <c r="M327" s="1"/>
      <c r="N327" s="1"/>
      <c r="O327" s="1"/>
      <c r="P327" s="1"/>
      <c r="Q327" s="1"/>
    </row>
    <row r="328" spans="1:17" x14ac:dyDescent="0.3">
      <c r="B328" s="5" t="s">
        <v>344</v>
      </c>
      <c r="C328" s="1" t="s">
        <v>1</v>
      </c>
      <c r="D328" s="1"/>
      <c r="E328" s="2">
        <v>7.7512503180897904E-2</v>
      </c>
      <c r="F328" s="1"/>
      <c r="G328" s="1"/>
      <c r="H328" s="1"/>
      <c r="I328" s="1"/>
      <c r="J328" s="1"/>
      <c r="K328" s="1"/>
      <c r="L328" s="1">
        <v>3</v>
      </c>
      <c r="M328" s="1"/>
      <c r="N328" s="1"/>
      <c r="O328" s="1"/>
      <c r="P328" s="1"/>
      <c r="Q328" s="1"/>
    </row>
    <row r="329" spans="1:17" x14ac:dyDescent="0.3">
      <c r="B329" s="5" t="s">
        <v>345</v>
      </c>
      <c r="C329" s="1" t="s">
        <v>1</v>
      </c>
      <c r="D329" s="1"/>
      <c r="E329" s="1"/>
      <c r="F329" s="1"/>
      <c r="G329" s="2">
        <v>4.5278116178259303E-2</v>
      </c>
      <c r="H329" s="1"/>
      <c r="I329" s="1"/>
      <c r="J329" s="1"/>
      <c r="K329" s="1"/>
      <c r="L329" s="1"/>
      <c r="M329" s="1"/>
      <c r="N329" s="1">
        <v>5</v>
      </c>
      <c r="O329" s="1"/>
      <c r="P329" s="1"/>
      <c r="Q329" s="1"/>
    </row>
    <row r="330" spans="1:17" x14ac:dyDescent="0.3">
      <c r="B330" s="5" t="s">
        <v>346</v>
      </c>
      <c r="C330" s="1" t="s">
        <v>1</v>
      </c>
      <c r="D330" s="2">
        <v>5.9286109663900098E-2</v>
      </c>
      <c r="E330" s="1"/>
      <c r="F330" s="1"/>
      <c r="G330" s="1"/>
      <c r="H330" s="1"/>
      <c r="I330" s="1"/>
      <c r="J330" s="1"/>
      <c r="K330" s="1">
        <v>1</v>
      </c>
      <c r="L330" s="1"/>
      <c r="M330" s="1"/>
      <c r="N330" s="1"/>
      <c r="O330" s="1"/>
      <c r="P330" s="1"/>
      <c r="Q330" s="1"/>
    </row>
    <row r="331" spans="1:17" x14ac:dyDescent="0.3">
      <c r="B331" s="5" t="s">
        <v>347</v>
      </c>
      <c r="C331" s="1" t="s">
        <v>1</v>
      </c>
      <c r="D331" s="1"/>
      <c r="E331" s="2">
        <v>0.37417919518403903</v>
      </c>
      <c r="F331" s="1"/>
      <c r="G331" s="1"/>
      <c r="H331" s="1"/>
      <c r="I331" s="1"/>
      <c r="J331" s="1"/>
      <c r="K331" s="1"/>
      <c r="L331" s="1">
        <v>28</v>
      </c>
      <c r="M331" s="1"/>
      <c r="N331" s="1"/>
      <c r="O331" s="1"/>
      <c r="P331" s="1"/>
      <c r="Q331" s="1"/>
    </row>
    <row r="332" spans="1:17" x14ac:dyDescent="0.3">
      <c r="B332" s="5" t="s">
        <v>348</v>
      </c>
      <c r="C332" s="1" t="s">
        <v>1</v>
      </c>
      <c r="D332" s="1"/>
      <c r="E332" s="1"/>
      <c r="F332" s="1"/>
      <c r="G332" s="1"/>
      <c r="H332" s="2">
        <v>0.85909153693729601</v>
      </c>
      <c r="I332" s="2"/>
      <c r="J332" s="1"/>
      <c r="K332" s="1"/>
      <c r="L332" s="1"/>
      <c r="M332" s="1"/>
      <c r="N332" s="1"/>
      <c r="O332" s="1">
        <v>28</v>
      </c>
      <c r="P332" s="1"/>
      <c r="Q332" s="1"/>
    </row>
    <row r="333" spans="1:17" x14ac:dyDescent="0.3">
      <c r="B333" s="5" t="s">
        <v>349</v>
      </c>
      <c r="C333" s="1" t="s">
        <v>1</v>
      </c>
      <c r="D333" s="1"/>
      <c r="E333" s="2">
        <v>2.7707413822563299E-2</v>
      </c>
      <c r="F333" s="1"/>
      <c r="G333" s="1"/>
      <c r="H333" s="1"/>
      <c r="I333" s="1"/>
      <c r="J333" s="1"/>
      <c r="K333" s="1"/>
      <c r="L333" s="1">
        <v>2</v>
      </c>
      <c r="M333" s="1"/>
      <c r="N333" s="1"/>
      <c r="O333" s="1"/>
      <c r="P333" s="1"/>
      <c r="Q333" s="1"/>
    </row>
    <row r="334" spans="1:17" x14ac:dyDescent="0.3">
      <c r="B334" s="5" t="s">
        <v>350</v>
      </c>
      <c r="C334" s="1" t="s">
        <v>1</v>
      </c>
      <c r="D334" s="2">
        <v>0.218470628317666</v>
      </c>
      <c r="E334" s="1"/>
      <c r="F334" s="1"/>
      <c r="G334" s="1"/>
      <c r="H334" s="1"/>
      <c r="I334" s="1"/>
      <c r="J334" s="1"/>
      <c r="K334" s="1">
        <v>14</v>
      </c>
      <c r="L334" s="1"/>
      <c r="M334" s="1"/>
      <c r="N334" s="1"/>
      <c r="O334" s="1"/>
      <c r="P334" s="1"/>
      <c r="Q334" s="1"/>
    </row>
    <row r="335" spans="1:17" x14ac:dyDescent="0.3">
      <c r="B335" s="5" t="s">
        <v>351</v>
      </c>
      <c r="C335" s="1" t="s">
        <v>1</v>
      </c>
      <c r="D335" s="1"/>
      <c r="E335" s="2">
        <v>0.116213288283843</v>
      </c>
      <c r="F335" s="1"/>
      <c r="G335" s="1"/>
      <c r="H335" s="1"/>
      <c r="I335" s="1"/>
      <c r="J335" s="1"/>
      <c r="K335" s="1"/>
      <c r="L335" s="1">
        <v>10</v>
      </c>
      <c r="M335" s="1"/>
      <c r="N335" s="1"/>
      <c r="O335" s="1"/>
      <c r="P335" s="1"/>
      <c r="Q335" s="1"/>
    </row>
    <row r="336" spans="1:17" x14ac:dyDescent="0.3">
      <c r="B336" s="5" t="s">
        <v>352</v>
      </c>
      <c r="C336" s="1" t="s">
        <v>1</v>
      </c>
      <c r="D336" s="1"/>
      <c r="E336" s="1"/>
      <c r="F336" s="2">
        <v>3.7803127337997801E-3</v>
      </c>
      <c r="G336" s="1"/>
      <c r="H336" s="2">
        <v>0.37720046558285503</v>
      </c>
      <c r="I336" s="2"/>
      <c r="J336" s="1"/>
      <c r="K336" s="1"/>
      <c r="L336" s="1"/>
      <c r="M336" s="1">
        <v>1</v>
      </c>
      <c r="N336" s="1"/>
      <c r="O336" s="1">
        <v>65</v>
      </c>
      <c r="P336" s="1"/>
      <c r="Q336" s="1"/>
    </row>
    <row r="337" spans="1:17" x14ac:dyDescent="0.3">
      <c r="B337" s="5" t="s">
        <v>353</v>
      </c>
      <c r="C337" s="1" t="s">
        <v>1</v>
      </c>
      <c r="D337" s="1"/>
      <c r="E337" s="1"/>
      <c r="F337" s="1"/>
      <c r="G337" s="1"/>
      <c r="H337" s="2">
        <v>2.5131483164044E-2</v>
      </c>
      <c r="I337" s="2"/>
      <c r="J337" s="1"/>
      <c r="K337" s="1"/>
      <c r="L337" s="1"/>
      <c r="M337" s="1"/>
      <c r="N337" s="1"/>
      <c r="O337" s="1">
        <v>1</v>
      </c>
      <c r="P337" s="1"/>
      <c r="Q337" s="1"/>
    </row>
    <row r="338" spans="1:17" x14ac:dyDescent="0.3">
      <c r="B338" s="5" t="s">
        <v>354</v>
      </c>
      <c r="C338" s="1" t="s">
        <v>1</v>
      </c>
      <c r="D338" s="1"/>
      <c r="E338" s="2">
        <v>1.2558419734508299</v>
      </c>
      <c r="F338" s="1"/>
      <c r="G338" s="1"/>
      <c r="H338" s="2">
        <v>0.27316243375973698</v>
      </c>
      <c r="I338" s="2"/>
      <c r="J338" s="1"/>
      <c r="K338" s="1"/>
      <c r="L338" s="1">
        <v>54</v>
      </c>
      <c r="M338" s="1"/>
      <c r="N338" s="1"/>
      <c r="O338" s="1">
        <v>23</v>
      </c>
      <c r="P338" s="1"/>
      <c r="Q338" s="1"/>
    </row>
    <row r="339" spans="1:17" x14ac:dyDescent="0.3">
      <c r="B339" s="5" t="s">
        <v>355</v>
      </c>
      <c r="C339" s="1" t="s">
        <v>1</v>
      </c>
      <c r="D339" s="1"/>
      <c r="E339" s="1"/>
      <c r="F339" s="1"/>
      <c r="G339" s="2">
        <v>0.26832867221281298</v>
      </c>
      <c r="H339" s="1"/>
      <c r="I339" s="1"/>
      <c r="J339" s="1"/>
      <c r="K339" s="1"/>
      <c r="L339" s="1"/>
      <c r="M339" s="1"/>
      <c r="N339" s="1">
        <v>22</v>
      </c>
      <c r="O339" s="1"/>
      <c r="P339" s="1"/>
      <c r="Q339" s="1"/>
    </row>
    <row r="340" spans="1:17" x14ac:dyDescent="0.3">
      <c r="A340" s="1" t="s">
        <v>52</v>
      </c>
      <c r="B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3">
      <c r="B341" s="5" t="s">
        <v>356</v>
      </c>
      <c r="C341" s="1" t="s">
        <v>1</v>
      </c>
      <c r="D341" s="1"/>
      <c r="E341" s="2">
        <v>4.7554606313806804</v>
      </c>
      <c r="F341" s="1"/>
      <c r="G341" s="1"/>
      <c r="H341" s="1"/>
      <c r="I341" s="1"/>
      <c r="J341" s="1"/>
      <c r="K341" s="1"/>
      <c r="L341" s="1">
        <v>10</v>
      </c>
      <c r="M341" s="1"/>
      <c r="N341" s="1"/>
      <c r="O341" s="1"/>
      <c r="P341" s="1"/>
      <c r="Q341" s="1"/>
    </row>
    <row r="342" spans="1:17" x14ac:dyDescent="0.3">
      <c r="B342" s="5" t="s">
        <v>357</v>
      </c>
      <c r="C342" s="1" t="s">
        <v>1</v>
      </c>
      <c r="D342" s="1"/>
      <c r="E342" s="2">
        <v>0.83772781006724095</v>
      </c>
      <c r="F342" s="1"/>
      <c r="G342" s="1"/>
      <c r="H342" s="1"/>
      <c r="I342" s="1"/>
      <c r="J342" s="1"/>
      <c r="K342" s="1"/>
      <c r="L342" s="1">
        <v>17</v>
      </c>
      <c r="M342" s="1"/>
      <c r="N342" s="1"/>
      <c r="O342" s="1"/>
      <c r="P342" s="1"/>
      <c r="Q342" s="1"/>
    </row>
    <row r="343" spans="1:17" x14ac:dyDescent="0.3">
      <c r="B343" s="5" t="s">
        <v>358</v>
      </c>
      <c r="C343" s="1" t="s">
        <v>1</v>
      </c>
      <c r="D343" s="1"/>
      <c r="E343" s="2">
        <v>9.21524833999776E-2</v>
      </c>
      <c r="F343" s="1"/>
      <c r="G343" s="1"/>
      <c r="H343" s="1"/>
      <c r="I343" s="1"/>
      <c r="J343" s="1"/>
      <c r="K343" s="1"/>
      <c r="L343" s="1">
        <v>4</v>
      </c>
      <c r="M343" s="1"/>
      <c r="N343" s="1"/>
      <c r="O343" s="1"/>
      <c r="P343" s="1"/>
      <c r="Q343" s="1"/>
    </row>
    <row r="344" spans="1:17" x14ac:dyDescent="0.3">
      <c r="B344" s="5" t="s">
        <v>359</v>
      </c>
      <c r="C344" s="1" t="s">
        <v>1</v>
      </c>
      <c r="D344" s="1"/>
      <c r="E344" s="2">
        <v>0.85459424069280598</v>
      </c>
      <c r="F344" s="1"/>
      <c r="G344" s="1"/>
      <c r="H344" s="1"/>
      <c r="I344" s="1"/>
      <c r="J344" s="1"/>
      <c r="K344" s="1"/>
      <c r="L344" s="1">
        <v>1</v>
      </c>
      <c r="M344" s="1"/>
      <c r="N344" s="1"/>
      <c r="O344" s="1"/>
      <c r="P344" s="1"/>
      <c r="Q344" s="1"/>
    </row>
    <row r="345" spans="1:17" x14ac:dyDescent="0.3">
      <c r="B345" s="5" t="s">
        <v>360</v>
      </c>
      <c r="C345" s="1" t="s">
        <v>1</v>
      </c>
      <c r="D345" s="1"/>
      <c r="E345" s="2">
        <v>1.31420913676742</v>
      </c>
      <c r="F345" s="1"/>
      <c r="G345" s="1"/>
      <c r="H345" s="1"/>
      <c r="I345" s="1"/>
      <c r="J345" s="1"/>
      <c r="K345" s="1"/>
      <c r="L345" s="1">
        <v>6</v>
      </c>
      <c r="M345" s="1"/>
      <c r="N345" s="1"/>
      <c r="O345" s="1"/>
      <c r="P345" s="1"/>
      <c r="Q345" s="1"/>
    </row>
    <row r="346" spans="1:17" x14ac:dyDescent="0.3">
      <c r="B346" s="5" t="s">
        <v>361</v>
      </c>
      <c r="C346" s="1" t="s">
        <v>1</v>
      </c>
      <c r="D346" s="1"/>
      <c r="E346" s="1"/>
      <c r="F346" s="2">
        <v>0.75944924268439895</v>
      </c>
      <c r="G346" s="1"/>
      <c r="H346" s="2">
        <v>4.9275226570199102E-2</v>
      </c>
      <c r="I346" s="2"/>
      <c r="J346" s="1"/>
      <c r="K346" s="1"/>
      <c r="L346" s="1"/>
      <c r="M346" s="1">
        <v>3</v>
      </c>
      <c r="N346" s="1"/>
      <c r="O346" s="1">
        <v>5</v>
      </c>
      <c r="P346" s="1"/>
      <c r="Q346" s="1"/>
    </row>
    <row r="347" spans="1:17" x14ac:dyDescent="0.3">
      <c r="A347" s="1" t="s">
        <v>53</v>
      </c>
      <c r="B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">
      <c r="B348" s="5" t="s">
        <v>362</v>
      </c>
      <c r="C348" s="1" t="s">
        <v>1</v>
      </c>
      <c r="D348" s="2">
        <v>4.5140236429248703E-3</v>
      </c>
      <c r="E348" s="1"/>
      <c r="F348" s="1"/>
      <c r="G348" s="1"/>
      <c r="H348" s="1"/>
      <c r="I348" s="1"/>
      <c r="J348" s="1"/>
      <c r="K348" s="1">
        <v>1</v>
      </c>
      <c r="L348" s="1"/>
      <c r="M348" s="1"/>
      <c r="N348" s="1"/>
      <c r="O348" s="1"/>
      <c r="P348" s="1"/>
      <c r="Q348" s="1"/>
    </row>
    <row r="349" spans="1:17" x14ac:dyDescent="0.3">
      <c r="A349" s="1" t="s">
        <v>54</v>
      </c>
      <c r="B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3">
      <c r="B350" s="5" t="s">
        <v>363</v>
      </c>
      <c r="C350" s="1" t="s">
        <v>1</v>
      </c>
      <c r="D350" s="2">
        <v>1.07543996167591</v>
      </c>
      <c r="E350" s="2">
        <v>4.5690788036089003E-2</v>
      </c>
      <c r="F350" s="2">
        <v>5.75762986980849E-2</v>
      </c>
      <c r="G350" s="2">
        <v>6.7699304900961403E-3</v>
      </c>
      <c r="H350" s="2">
        <v>0.53968366517028699</v>
      </c>
      <c r="I350" s="2"/>
      <c r="J350" s="1"/>
      <c r="K350" s="1">
        <v>23</v>
      </c>
      <c r="L350" s="1">
        <v>3</v>
      </c>
      <c r="M350" s="1">
        <v>2</v>
      </c>
      <c r="N350" s="1">
        <v>1</v>
      </c>
      <c r="O350" s="1">
        <v>19</v>
      </c>
      <c r="P350" s="1"/>
      <c r="Q350" s="1"/>
    </row>
    <row r="351" spans="1:17" x14ac:dyDescent="0.3">
      <c r="B351" s="5" t="s">
        <v>364</v>
      </c>
      <c r="C351" s="1" t="s">
        <v>1</v>
      </c>
      <c r="D351" s="1"/>
      <c r="E351" s="2">
        <v>7.4513802422970903</v>
      </c>
      <c r="F351" s="1"/>
      <c r="G351" s="1"/>
      <c r="H351" s="1"/>
      <c r="I351" s="1"/>
      <c r="J351" s="1"/>
      <c r="K351" s="1"/>
      <c r="L351" s="1">
        <v>16</v>
      </c>
      <c r="M351" s="1"/>
      <c r="N351" s="1"/>
      <c r="O351" s="1"/>
      <c r="P351" s="1"/>
      <c r="Q351" s="1"/>
    </row>
    <row r="352" spans="1:17" x14ac:dyDescent="0.3">
      <c r="B352" s="5" t="s">
        <v>365</v>
      </c>
      <c r="C352" s="1" t="s">
        <v>1</v>
      </c>
      <c r="D352" s="2">
        <v>5.96613068527986E-2</v>
      </c>
      <c r="E352" s="1"/>
      <c r="F352" s="1"/>
      <c r="G352" s="1"/>
      <c r="H352" s="2">
        <v>1.7914486423101901E-2</v>
      </c>
      <c r="I352" s="2"/>
      <c r="J352" s="1"/>
      <c r="K352" s="1">
        <v>1</v>
      </c>
      <c r="L352" s="1"/>
      <c r="M352" s="1"/>
      <c r="N352" s="1"/>
      <c r="O352" s="1">
        <v>2</v>
      </c>
      <c r="P352" s="1"/>
      <c r="Q352" s="1"/>
    </row>
    <row r="353" spans="1:17" x14ac:dyDescent="0.3">
      <c r="B353" s="5" t="s">
        <v>366</v>
      </c>
      <c r="C353" s="1" t="s">
        <v>1</v>
      </c>
      <c r="D353" s="2">
        <v>0.55221778857139503</v>
      </c>
      <c r="E353" s="2">
        <v>1.0220544031496199</v>
      </c>
      <c r="F353" s="1"/>
      <c r="G353" s="1"/>
      <c r="H353" s="2">
        <v>1.5835336023178599</v>
      </c>
      <c r="I353" s="2"/>
      <c r="J353" s="1"/>
      <c r="K353" s="1">
        <v>4</v>
      </c>
      <c r="L353" s="1">
        <v>8</v>
      </c>
      <c r="M353" s="1"/>
      <c r="N353" s="1"/>
      <c r="O353" s="1">
        <v>8</v>
      </c>
      <c r="P353" s="1"/>
      <c r="Q353" s="1"/>
    </row>
    <row r="354" spans="1:17" x14ac:dyDescent="0.3">
      <c r="B354" s="5" t="s">
        <v>367</v>
      </c>
      <c r="C354" s="1" t="s">
        <v>1</v>
      </c>
      <c r="D354" s="2">
        <v>4.6034871714107899</v>
      </c>
      <c r="E354" s="2">
        <v>4.3470276195435202</v>
      </c>
      <c r="F354" s="1"/>
      <c r="G354" s="1"/>
      <c r="H354" s="2">
        <v>1.3847264924478599</v>
      </c>
      <c r="I354" s="2"/>
      <c r="J354" s="1"/>
      <c r="K354" s="1">
        <v>44</v>
      </c>
      <c r="L354" s="1">
        <v>29</v>
      </c>
      <c r="M354" s="1"/>
      <c r="N354" s="1"/>
      <c r="O354" s="1">
        <v>42</v>
      </c>
      <c r="P354" s="1"/>
      <c r="Q354" s="1"/>
    </row>
    <row r="355" spans="1:17" x14ac:dyDescent="0.3">
      <c r="B355" s="5" t="s">
        <v>368</v>
      </c>
      <c r="C355" s="1" t="s">
        <v>1</v>
      </c>
      <c r="D355" s="2">
        <v>3.31655256168472E-2</v>
      </c>
      <c r="E355" s="2">
        <v>0.23402595083422101</v>
      </c>
      <c r="F355" s="1"/>
      <c r="G355" s="1"/>
      <c r="H355" s="1"/>
      <c r="I355" s="1"/>
      <c r="J355" s="1"/>
      <c r="K355" s="1">
        <v>3</v>
      </c>
      <c r="L355" s="1">
        <v>5</v>
      </c>
      <c r="M355" s="1"/>
      <c r="N355" s="1"/>
      <c r="O355" s="1"/>
      <c r="P355" s="1"/>
      <c r="Q355" s="1"/>
    </row>
    <row r="356" spans="1:17" x14ac:dyDescent="0.3">
      <c r="B356" s="5" t="s">
        <v>369</v>
      </c>
      <c r="C356" s="1" t="s">
        <v>1</v>
      </c>
      <c r="D356" s="2">
        <v>1.97837657628551E-2</v>
      </c>
      <c r="E356" s="1"/>
      <c r="F356" s="1"/>
      <c r="G356" s="1"/>
      <c r="H356" s="2">
        <v>0.56232026866622198</v>
      </c>
      <c r="I356" s="2"/>
      <c r="J356" s="1"/>
      <c r="K356" s="1">
        <v>2</v>
      </c>
      <c r="L356" s="1"/>
      <c r="M356" s="1"/>
      <c r="N356" s="1"/>
      <c r="O356" s="1">
        <v>6</v>
      </c>
      <c r="P356" s="1"/>
      <c r="Q356" s="1"/>
    </row>
    <row r="357" spans="1:17" x14ac:dyDescent="0.3">
      <c r="B357" s="5" t="s">
        <v>370</v>
      </c>
      <c r="C357" s="1" t="s">
        <v>1</v>
      </c>
      <c r="D357" s="1"/>
      <c r="E357" s="2">
        <v>4.5065324887620202</v>
      </c>
      <c r="F357" s="1"/>
      <c r="G357" s="1"/>
      <c r="H357" s="1"/>
      <c r="I357" s="1"/>
      <c r="J357" s="1"/>
      <c r="K357" s="1"/>
      <c r="L357" s="1">
        <v>9</v>
      </c>
      <c r="M357" s="1"/>
      <c r="N357" s="1"/>
      <c r="O357" s="1"/>
      <c r="P357" s="1"/>
      <c r="Q357" s="1"/>
    </row>
    <row r="358" spans="1:17" x14ac:dyDescent="0.3">
      <c r="A358" s="1" t="s">
        <v>55</v>
      </c>
      <c r="B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3">
      <c r="B359" s="5" t="s">
        <v>371</v>
      </c>
      <c r="C359" s="1" t="s">
        <v>1</v>
      </c>
      <c r="D359" s="2">
        <v>0.79327283036628704</v>
      </c>
      <c r="E359" s="2">
        <v>1.8740513654064901</v>
      </c>
      <c r="F359" s="1"/>
      <c r="G359" s="1"/>
      <c r="H359" s="2">
        <v>0.23344426074396801</v>
      </c>
      <c r="I359" s="2">
        <f>J359/0.5</f>
        <v>1.4760797817693481</v>
      </c>
      <c r="J359" s="2">
        <v>0.73803989088467403</v>
      </c>
      <c r="K359" s="1">
        <v>85</v>
      </c>
      <c r="L359" s="1">
        <v>20</v>
      </c>
      <c r="M359" s="1"/>
      <c r="N359" s="1"/>
      <c r="O359" s="1">
        <v>8</v>
      </c>
      <c r="P359" s="1">
        <f>Q359/0.5</f>
        <v>40</v>
      </c>
      <c r="Q359" s="1">
        <v>20</v>
      </c>
    </row>
    <row r="360" spans="1:17" x14ac:dyDescent="0.3">
      <c r="B360" s="5" t="s">
        <v>372</v>
      </c>
      <c r="C360" s="1" t="s">
        <v>1</v>
      </c>
      <c r="D360" s="2">
        <v>6.5082903225445703</v>
      </c>
      <c r="E360" s="1"/>
      <c r="F360" s="1"/>
      <c r="G360" s="1"/>
      <c r="H360" s="1"/>
      <c r="I360" s="1"/>
      <c r="J360" s="1"/>
      <c r="K360" s="1">
        <v>103</v>
      </c>
      <c r="L360" s="1"/>
      <c r="M360" s="1"/>
      <c r="N360" s="1"/>
      <c r="O360" s="1"/>
      <c r="P360" s="1"/>
      <c r="Q360" s="1"/>
    </row>
    <row r="361" spans="1:17" x14ac:dyDescent="0.3">
      <c r="B361" s="5" t="s">
        <v>373</v>
      </c>
      <c r="C361" s="1" t="s">
        <v>1</v>
      </c>
      <c r="D361" s="1"/>
      <c r="E361" s="2">
        <v>0.33234205808933698</v>
      </c>
      <c r="F361" s="1"/>
      <c r="G361" s="1"/>
      <c r="H361" s="1"/>
      <c r="I361" s="1"/>
      <c r="J361" s="1"/>
      <c r="K361" s="1"/>
      <c r="L361" s="1">
        <v>8</v>
      </c>
      <c r="M361" s="1"/>
      <c r="N361" s="1"/>
      <c r="O361" s="1"/>
      <c r="P361" s="1"/>
      <c r="Q361" s="1"/>
    </row>
    <row r="362" spans="1:17" x14ac:dyDescent="0.3">
      <c r="B362" s="5" t="s">
        <v>374</v>
      </c>
      <c r="C362" s="1" t="s">
        <v>1</v>
      </c>
      <c r="D362" s="2">
        <v>0.75725469677988599</v>
      </c>
      <c r="E362" s="2">
        <v>3.9390250542364801E-2</v>
      </c>
      <c r="F362" s="1"/>
      <c r="G362" s="1"/>
      <c r="H362" s="1"/>
      <c r="I362" s="1"/>
      <c r="J362" s="1"/>
      <c r="K362" s="1">
        <v>10</v>
      </c>
      <c r="L362" s="1">
        <v>1</v>
      </c>
      <c r="M362" s="1"/>
      <c r="N362" s="1"/>
      <c r="O362" s="1"/>
      <c r="P362" s="1"/>
      <c r="Q362" s="1"/>
    </row>
    <row r="363" spans="1:17" x14ac:dyDescent="0.3">
      <c r="B363" s="5" t="s">
        <v>375</v>
      </c>
      <c r="C363" s="1" t="s">
        <v>1</v>
      </c>
      <c r="D363" s="1"/>
      <c r="E363" s="2">
        <v>9.7907464195766494</v>
      </c>
      <c r="F363" s="1"/>
      <c r="G363" s="1"/>
      <c r="H363" s="1"/>
      <c r="I363" s="1"/>
      <c r="J363" s="1"/>
      <c r="K363" s="1"/>
      <c r="L363" s="1">
        <v>7</v>
      </c>
      <c r="M363" s="1"/>
      <c r="N363" s="1"/>
      <c r="O363" s="1"/>
      <c r="P363" s="1"/>
      <c r="Q363" s="1"/>
    </row>
    <row r="364" spans="1:17" x14ac:dyDescent="0.3">
      <c r="B364" s="5" t="s">
        <v>376</v>
      </c>
      <c r="C364" s="1" t="s">
        <v>1</v>
      </c>
      <c r="D364" s="2">
        <v>66.156885231793296</v>
      </c>
      <c r="E364" s="2">
        <v>16.7194226995252</v>
      </c>
      <c r="F364" s="1"/>
      <c r="G364" s="1"/>
      <c r="H364" s="2">
        <v>31.036887236070498</v>
      </c>
      <c r="I364" s="2"/>
      <c r="J364" s="1"/>
      <c r="K364" s="1">
        <v>163</v>
      </c>
      <c r="L364" s="1">
        <v>30</v>
      </c>
      <c r="M364" s="1"/>
      <c r="N364" s="1"/>
      <c r="O364" s="1">
        <v>394</v>
      </c>
      <c r="P364" s="1"/>
      <c r="Q364" s="1"/>
    </row>
    <row r="365" spans="1:17" x14ac:dyDescent="0.3">
      <c r="A365" s="1" t="s">
        <v>56</v>
      </c>
      <c r="B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3">
      <c r="B366" s="5" t="s">
        <v>377</v>
      </c>
      <c r="C366" s="1" t="s">
        <v>1</v>
      </c>
      <c r="D366" s="1"/>
      <c r="E366" s="2">
        <v>0.26976250734053803</v>
      </c>
      <c r="F366" s="1"/>
      <c r="G366" s="1"/>
      <c r="H366" s="1"/>
      <c r="I366" s="1"/>
      <c r="J366" s="1"/>
      <c r="K366" s="1"/>
      <c r="L366" s="1">
        <v>5</v>
      </c>
      <c r="M366" s="1"/>
      <c r="N366" s="1"/>
      <c r="O366" s="1"/>
      <c r="P366" s="1"/>
      <c r="Q366" s="1"/>
    </row>
    <row r="367" spans="1:17" x14ac:dyDescent="0.3">
      <c r="B367" s="5" t="s">
        <v>378</v>
      </c>
      <c r="C367" s="1" t="s">
        <v>1</v>
      </c>
      <c r="D367" s="2">
        <v>1.36602559889816</v>
      </c>
      <c r="E367" s="2">
        <v>0.143244491197388</v>
      </c>
      <c r="F367" s="1"/>
      <c r="G367" s="1"/>
      <c r="H367" s="1"/>
      <c r="I367" s="1"/>
      <c r="J367" s="1"/>
      <c r="K367" s="1">
        <v>10</v>
      </c>
      <c r="L367" s="1">
        <v>1</v>
      </c>
      <c r="M367" s="1"/>
      <c r="N367" s="1"/>
      <c r="O367" s="1"/>
      <c r="P367" s="1"/>
      <c r="Q367" s="1"/>
    </row>
    <row r="368" spans="1:17" x14ac:dyDescent="0.3">
      <c r="B368" s="5" t="s">
        <v>379</v>
      </c>
      <c r="C368" s="1" t="s">
        <v>1</v>
      </c>
      <c r="D368" s="2">
        <v>0.18061564438310099</v>
      </c>
      <c r="E368" s="1"/>
      <c r="F368" s="1"/>
      <c r="G368" s="1"/>
      <c r="H368" s="1"/>
      <c r="I368" s="1"/>
      <c r="J368" s="1"/>
      <c r="K368" s="1">
        <v>1</v>
      </c>
      <c r="L368" s="1"/>
      <c r="M368" s="1"/>
      <c r="N368" s="1"/>
      <c r="O368" s="1"/>
      <c r="P368" s="1"/>
      <c r="Q368" s="1"/>
    </row>
    <row r="369" spans="1:17" x14ac:dyDescent="0.3">
      <c r="B369" s="5" t="s">
        <v>380</v>
      </c>
      <c r="C369" s="1" t="s">
        <v>1</v>
      </c>
      <c r="D369" s="1"/>
      <c r="E369" s="2">
        <v>0.12811269898455799</v>
      </c>
      <c r="F369" s="1"/>
      <c r="G369" s="1"/>
      <c r="H369" s="1"/>
      <c r="I369" s="1"/>
      <c r="J369" s="1"/>
      <c r="K369" s="1"/>
      <c r="L369" s="1">
        <v>1</v>
      </c>
      <c r="M369" s="1"/>
      <c r="N369" s="1"/>
      <c r="O369" s="1"/>
      <c r="P369" s="1"/>
      <c r="Q369" s="1"/>
    </row>
    <row r="370" spans="1:17" x14ac:dyDescent="0.3">
      <c r="A370" s="1" t="s">
        <v>57</v>
      </c>
      <c r="B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3">
      <c r="B371" s="5" t="s">
        <v>381</v>
      </c>
      <c r="C371" s="1" t="s">
        <v>5</v>
      </c>
      <c r="D371" s="1"/>
      <c r="E371" s="1"/>
      <c r="F371" s="1"/>
      <c r="G371" s="1"/>
      <c r="H371" s="2">
        <v>4.5656200696892801E-2</v>
      </c>
      <c r="I371" s="2"/>
      <c r="J371" s="1"/>
      <c r="K371" s="1"/>
      <c r="L371" s="1"/>
      <c r="M371" s="1"/>
      <c r="N371" s="1"/>
      <c r="O371" s="1">
        <v>1</v>
      </c>
      <c r="P371" s="1"/>
      <c r="Q371" s="1"/>
    </row>
    <row r="372" spans="1:17" x14ac:dyDescent="0.3">
      <c r="A372" s="1" t="s">
        <v>58</v>
      </c>
      <c r="B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3">
      <c r="B373" s="5" t="s">
        <v>382</v>
      </c>
      <c r="C373" s="1" t="s">
        <v>1</v>
      </c>
      <c r="D373" s="1"/>
      <c r="E373" s="2">
        <v>3.0335248405175701E-2</v>
      </c>
      <c r="F373" s="1"/>
      <c r="G373" s="1"/>
      <c r="H373" s="1"/>
      <c r="I373" s="1"/>
      <c r="J373" s="1"/>
      <c r="K373" s="1"/>
      <c r="L373" s="1">
        <v>1</v>
      </c>
      <c r="M373" s="1"/>
      <c r="N373" s="1"/>
      <c r="O373" s="1"/>
      <c r="P373" s="1"/>
      <c r="Q373" s="1"/>
    </row>
    <row r="374" spans="1:17" x14ac:dyDescent="0.3">
      <c r="B374" s="5" t="s">
        <v>383</v>
      </c>
      <c r="C374" s="1" t="s">
        <v>1</v>
      </c>
      <c r="D374" s="1"/>
      <c r="E374" s="1"/>
      <c r="F374" s="2">
        <v>0.179577250585679</v>
      </c>
      <c r="G374" s="1"/>
      <c r="H374" s="1"/>
      <c r="I374" s="1"/>
      <c r="J374" s="1"/>
      <c r="K374" s="1"/>
      <c r="L374" s="1"/>
      <c r="M374" s="1">
        <v>1</v>
      </c>
      <c r="N374" s="1"/>
      <c r="O374" s="1"/>
      <c r="P374" s="1"/>
      <c r="Q374" s="1"/>
    </row>
    <row r="375" spans="1:17" x14ac:dyDescent="0.3">
      <c r="B375" s="5" t="s">
        <v>384</v>
      </c>
      <c r="C375" s="1" t="s">
        <v>1</v>
      </c>
      <c r="D375" s="1"/>
      <c r="E375" s="2">
        <v>6.22136692825811E-3</v>
      </c>
      <c r="F375" s="1"/>
      <c r="G375" s="1"/>
      <c r="H375" s="1"/>
      <c r="I375" s="1"/>
      <c r="J375" s="1"/>
      <c r="K375" s="1"/>
      <c r="L375" s="1">
        <v>1</v>
      </c>
      <c r="M375" s="1"/>
      <c r="N375" s="1"/>
      <c r="O375" s="1"/>
      <c r="P375" s="1"/>
      <c r="Q375" s="1"/>
    </row>
    <row r="376" spans="1:17" x14ac:dyDescent="0.3">
      <c r="B376" s="5" t="s">
        <v>385</v>
      </c>
      <c r="C376" s="1" t="s">
        <v>1</v>
      </c>
      <c r="D376" s="1"/>
      <c r="E376" s="2">
        <v>0.25265589257549997</v>
      </c>
      <c r="F376" s="1"/>
      <c r="G376" s="1"/>
      <c r="H376" s="2">
        <v>0.204247032536649</v>
      </c>
      <c r="I376" s="2"/>
      <c r="J376" s="1"/>
      <c r="K376" s="1"/>
      <c r="L376" s="1">
        <v>1</v>
      </c>
      <c r="M376" s="1"/>
      <c r="N376" s="1"/>
      <c r="O376" s="1">
        <v>3</v>
      </c>
      <c r="P376" s="1"/>
      <c r="Q376" s="1"/>
    </row>
    <row r="377" spans="1:17" x14ac:dyDescent="0.3">
      <c r="B377" s="5" t="s">
        <v>386</v>
      </c>
      <c r="C377" s="1" t="s">
        <v>1</v>
      </c>
      <c r="D377" s="1"/>
      <c r="E377" s="1"/>
      <c r="F377" s="1"/>
      <c r="G377" s="2">
        <v>2.67421316759845E-2</v>
      </c>
      <c r="H377" s="1"/>
      <c r="I377" s="1"/>
      <c r="J377" s="1"/>
      <c r="K377" s="1"/>
      <c r="L377" s="1"/>
      <c r="M377" s="1"/>
      <c r="N377" s="1">
        <v>1</v>
      </c>
      <c r="O377" s="1"/>
      <c r="P377" s="1"/>
      <c r="Q377" s="1"/>
    </row>
    <row r="378" spans="1:17" x14ac:dyDescent="0.3">
      <c r="B378" s="5" t="s">
        <v>387</v>
      </c>
      <c r="C378" s="1" t="s">
        <v>1</v>
      </c>
      <c r="D378" s="1"/>
      <c r="E378" s="1"/>
      <c r="F378" s="2">
        <v>2.75345925990199E-2</v>
      </c>
      <c r="G378" s="1"/>
      <c r="H378" s="1"/>
      <c r="I378" s="1"/>
      <c r="J378" s="1"/>
      <c r="K378" s="1"/>
      <c r="L378" s="1"/>
      <c r="M378" s="1">
        <v>5</v>
      </c>
      <c r="N378" s="1"/>
      <c r="O378" s="1"/>
      <c r="P378" s="1"/>
      <c r="Q378" s="1"/>
    </row>
    <row r="379" spans="1:17" x14ac:dyDescent="0.3">
      <c r="B379" s="5" t="s">
        <v>388</v>
      </c>
      <c r="C379" s="1" t="s">
        <v>1</v>
      </c>
      <c r="D379" s="2">
        <v>3.7602132791656598E-2</v>
      </c>
      <c r="E379" s="2">
        <v>1.7271283712718601E-2</v>
      </c>
      <c r="F379" s="2">
        <v>8.5512131109025905E-2</v>
      </c>
      <c r="G379" s="1"/>
      <c r="H379" s="1"/>
      <c r="I379" s="1"/>
      <c r="J379" s="1"/>
      <c r="K379" s="1">
        <v>4</v>
      </c>
      <c r="L379" s="1">
        <v>1</v>
      </c>
      <c r="M379" s="1">
        <v>4</v>
      </c>
      <c r="N379" s="1"/>
      <c r="O379" s="1"/>
      <c r="P379" s="1"/>
      <c r="Q379" s="1"/>
    </row>
    <row r="380" spans="1:17" x14ac:dyDescent="0.3">
      <c r="B380" s="5" t="s">
        <v>389</v>
      </c>
      <c r="C380" s="1" t="s">
        <v>1</v>
      </c>
      <c r="D380" s="2">
        <v>0.5828183692701</v>
      </c>
      <c r="E380" s="1"/>
      <c r="F380" s="1"/>
      <c r="G380" s="1"/>
      <c r="H380" s="1"/>
      <c r="I380" s="1"/>
      <c r="J380" s="1"/>
      <c r="K380" s="1">
        <v>16</v>
      </c>
      <c r="L380" s="1"/>
      <c r="M380" s="1"/>
      <c r="N380" s="1"/>
      <c r="O380" s="1"/>
      <c r="P380" s="1"/>
      <c r="Q380" s="1"/>
    </row>
    <row r="381" spans="1:17" x14ac:dyDescent="0.3">
      <c r="B381" s="5" t="s">
        <v>390</v>
      </c>
      <c r="C381" s="1" t="s">
        <v>1</v>
      </c>
      <c r="D381" s="1"/>
      <c r="E381" s="2">
        <v>0.25172961648681402</v>
      </c>
      <c r="F381" s="1"/>
      <c r="G381" s="1"/>
      <c r="H381" s="1"/>
      <c r="I381" s="1"/>
      <c r="J381" s="1"/>
      <c r="K381" s="1"/>
      <c r="L381" s="1">
        <v>12</v>
      </c>
      <c r="M381" s="1"/>
      <c r="N381" s="1"/>
      <c r="O381" s="1"/>
      <c r="P381" s="1"/>
      <c r="Q381" s="1"/>
    </row>
    <row r="382" spans="1:17" x14ac:dyDescent="0.3">
      <c r="B382" s="5" t="s">
        <v>391</v>
      </c>
      <c r="C382" s="1" t="s">
        <v>1</v>
      </c>
      <c r="D382" s="1"/>
      <c r="E382" s="2">
        <v>9.2416166413074999E-2</v>
      </c>
      <c r="F382" s="2">
        <v>1.33775167865201E-2</v>
      </c>
      <c r="G382" s="2">
        <v>2.0798890627483999</v>
      </c>
      <c r="H382" s="1"/>
      <c r="I382" s="1"/>
      <c r="J382" s="1"/>
      <c r="K382" s="1"/>
      <c r="L382" s="1">
        <v>1</v>
      </c>
      <c r="M382" s="1">
        <v>1</v>
      </c>
      <c r="N382" s="1">
        <v>30</v>
      </c>
      <c r="O382" s="1"/>
      <c r="P382" s="1"/>
      <c r="Q382" s="1"/>
    </row>
    <row r="383" spans="1:17" x14ac:dyDescent="0.3">
      <c r="A383" s="1" t="s">
        <v>59</v>
      </c>
      <c r="B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3">
      <c r="B384" s="5" t="s">
        <v>392</v>
      </c>
      <c r="C384" s="1" t="s">
        <v>5</v>
      </c>
      <c r="D384" s="1"/>
      <c r="E384" s="2">
        <v>9.0052534251027605E-2</v>
      </c>
      <c r="F384" s="1"/>
      <c r="G384" s="1"/>
      <c r="H384" s="1"/>
      <c r="I384" s="1"/>
      <c r="J384" s="1"/>
      <c r="K384" s="1"/>
      <c r="L384" s="1">
        <v>1</v>
      </c>
      <c r="M384" s="1"/>
      <c r="N384" s="1"/>
      <c r="O384" s="1"/>
      <c r="P384" s="1"/>
      <c r="Q384" s="1"/>
    </row>
    <row r="385" spans="1:17" x14ac:dyDescent="0.3">
      <c r="B385" s="5" t="s">
        <v>393</v>
      </c>
      <c r="C385" s="1" t="s">
        <v>5</v>
      </c>
      <c r="D385" s="1"/>
      <c r="E385" s="1"/>
      <c r="F385" s="2">
        <v>0.112108260741219</v>
      </c>
      <c r="G385" s="1"/>
      <c r="H385" s="1"/>
      <c r="I385" s="2">
        <f>J385/0.5</f>
        <v>0.11378094137425999</v>
      </c>
      <c r="J385" s="2">
        <v>5.6890470687129997E-2</v>
      </c>
      <c r="K385" s="1"/>
      <c r="L385" s="1"/>
      <c r="M385" s="1">
        <v>6</v>
      </c>
      <c r="N385" s="1"/>
      <c r="O385" s="1"/>
      <c r="P385" s="1">
        <f>Q385/0.5</f>
        <v>8</v>
      </c>
      <c r="Q385" s="1">
        <v>4</v>
      </c>
    </row>
    <row r="386" spans="1:17" x14ac:dyDescent="0.3">
      <c r="B386" s="5" t="s">
        <v>394</v>
      </c>
      <c r="C386" s="1" t="s">
        <v>5</v>
      </c>
      <c r="D386" s="1"/>
      <c r="E386" s="2">
        <v>3.7274194784312598E-2</v>
      </c>
      <c r="F386" s="1"/>
      <c r="G386" s="1"/>
      <c r="H386" s="1"/>
      <c r="I386" s="1"/>
      <c r="J386" s="1"/>
      <c r="K386" s="1"/>
      <c r="L386" s="1">
        <v>3</v>
      </c>
      <c r="M386" s="1"/>
      <c r="N386" s="1"/>
      <c r="O386" s="1"/>
      <c r="P386" s="1"/>
      <c r="Q386" s="1"/>
    </row>
    <row r="387" spans="1:17" x14ac:dyDescent="0.3">
      <c r="A387" s="1" t="s">
        <v>60</v>
      </c>
      <c r="B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3">
      <c r="B388" s="5" t="s">
        <v>395</v>
      </c>
      <c r="C388" s="1" t="s">
        <v>1</v>
      </c>
      <c r="D388" s="1"/>
      <c r="E388" s="1"/>
      <c r="F388" s="2">
        <v>8.9843302018808094E-3</v>
      </c>
      <c r="G388" s="1"/>
      <c r="H388" s="1"/>
      <c r="I388" s="2">
        <f>J388/0.5</f>
        <v>1.9106676426541638E-2</v>
      </c>
      <c r="J388" s="2">
        <v>9.5533382132708192E-3</v>
      </c>
      <c r="K388" s="1"/>
      <c r="L388" s="1"/>
      <c r="M388" s="1">
        <v>1</v>
      </c>
      <c r="N388" s="1"/>
      <c r="O388" s="1"/>
      <c r="P388" s="1">
        <f>Q388/0.5</f>
        <v>2</v>
      </c>
      <c r="Q388" s="1">
        <v>1</v>
      </c>
    </row>
    <row r="389" spans="1:17" x14ac:dyDescent="0.3">
      <c r="B389" s="5" t="s">
        <v>396</v>
      </c>
      <c r="C389" s="1" t="s">
        <v>1</v>
      </c>
      <c r="D389" s="1"/>
      <c r="E389" s="1"/>
      <c r="F389" s="2">
        <v>1.96821586223467E-2</v>
      </c>
      <c r="G389" s="1"/>
      <c r="H389" s="1"/>
      <c r="I389" s="1"/>
      <c r="J389" s="1"/>
      <c r="K389" s="1"/>
      <c r="L389" s="1"/>
      <c r="M389" s="1">
        <v>2</v>
      </c>
      <c r="N389" s="1"/>
      <c r="O389" s="1"/>
      <c r="P389" s="1"/>
      <c r="Q389" s="1"/>
    </row>
    <row r="390" spans="1:17" x14ac:dyDescent="0.3">
      <c r="B390" s="5" t="s">
        <v>397</v>
      </c>
      <c r="C390" s="1" t="s">
        <v>1</v>
      </c>
      <c r="D390" s="1"/>
      <c r="E390" s="1"/>
      <c r="F390" s="2">
        <v>1.9056425118173399</v>
      </c>
      <c r="G390" s="2">
        <v>2.1069755016571601</v>
      </c>
      <c r="H390" s="2">
        <v>7.5630345267794302E-2</v>
      </c>
      <c r="I390" s="2">
        <f>J390/0.5</f>
        <v>0.39787599160474602</v>
      </c>
      <c r="J390" s="2">
        <v>0.19893799580237301</v>
      </c>
      <c r="K390" s="1"/>
      <c r="L390" s="1"/>
      <c r="M390" s="1">
        <v>67</v>
      </c>
      <c r="N390" s="1">
        <v>67</v>
      </c>
      <c r="O390" s="1">
        <v>3</v>
      </c>
      <c r="P390" s="1">
        <f>Q390/0.5</f>
        <v>20</v>
      </c>
      <c r="Q390" s="1">
        <v>10</v>
      </c>
    </row>
    <row r="391" spans="1:17" x14ac:dyDescent="0.3">
      <c r="B391" s="5" t="s">
        <v>398</v>
      </c>
      <c r="C391" s="1" t="s">
        <v>1</v>
      </c>
      <c r="D391" s="1"/>
      <c r="E391" s="2">
        <v>8.0095742777444301E-3</v>
      </c>
      <c r="F391" s="1"/>
      <c r="G391" s="1"/>
      <c r="H391" s="2">
        <v>7.3597680477850496</v>
      </c>
      <c r="I391" s="2"/>
      <c r="J391" s="1"/>
      <c r="K391" s="1"/>
      <c r="L391" s="1">
        <v>1</v>
      </c>
      <c r="M391" s="1"/>
      <c r="N391" s="1"/>
      <c r="O391" s="1">
        <v>21</v>
      </c>
      <c r="P391" s="1"/>
      <c r="Q391" s="1"/>
    </row>
    <row r="392" spans="1:17" x14ac:dyDescent="0.3">
      <c r="B392" s="5" t="s">
        <v>399</v>
      </c>
      <c r="C392" s="1" t="s">
        <v>1</v>
      </c>
      <c r="D392" s="2">
        <v>5.9214987901615801E-3</v>
      </c>
      <c r="E392" s="1"/>
      <c r="F392" s="1"/>
      <c r="G392" s="1"/>
      <c r="H392" s="1"/>
      <c r="I392" s="1"/>
      <c r="J392" s="1"/>
      <c r="K392" s="1">
        <v>1</v>
      </c>
      <c r="L392" s="1"/>
      <c r="M392" s="1"/>
      <c r="N392" s="1"/>
      <c r="O392" s="1"/>
      <c r="P392" s="1"/>
      <c r="Q392" s="1"/>
    </row>
    <row r="393" spans="1:17" x14ac:dyDescent="0.3">
      <c r="B393" s="5" t="s">
        <v>400</v>
      </c>
      <c r="C393" s="1" t="s">
        <v>1</v>
      </c>
      <c r="D393" s="1"/>
      <c r="E393" s="1"/>
      <c r="F393" s="1"/>
      <c r="G393" s="1"/>
      <c r="H393" s="2">
        <v>10.258379978005401</v>
      </c>
      <c r="I393" s="2"/>
      <c r="J393" s="1"/>
      <c r="K393" s="1"/>
      <c r="L393" s="1"/>
      <c r="M393" s="1"/>
      <c r="N393" s="1"/>
      <c r="O393" s="1">
        <v>23</v>
      </c>
      <c r="P393" s="1"/>
      <c r="Q393" s="1"/>
    </row>
    <row r="394" spans="1:17" x14ac:dyDescent="0.3">
      <c r="B394" s="5" t="s">
        <v>401</v>
      </c>
      <c r="C394" s="1" t="s">
        <v>1</v>
      </c>
      <c r="D394" s="2">
        <v>0.112515167075787</v>
      </c>
      <c r="E394" s="1"/>
      <c r="F394" s="1"/>
      <c r="G394" s="2">
        <v>3.66773113614309</v>
      </c>
      <c r="H394" s="1"/>
      <c r="I394" s="1"/>
      <c r="J394" s="1"/>
      <c r="K394" s="1">
        <v>3</v>
      </c>
      <c r="L394" s="1"/>
      <c r="M394" s="1"/>
      <c r="N394" s="1">
        <v>108</v>
      </c>
      <c r="O394" s="1"/>
      <c r="P394" s="1"/>
      <c r="Q394" s="1"/>
    </row>
    <row r="395" spans="1:17" x14ac:dyDescent="0.3">
      <c r="A395" s="1" t="s">
        <v>61</v>
      </c>
      <c r="B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3">
      <c r="B396" s="5" t="s">
        <v>402</v>
      </c>
      <c r="C396" s="1" t="s">
        <v>1</v>
      </c>
      <c r="D396" s="1"/>
      <c r="E396" s="1"/>
      <c r="F396" s="1"/>
      <c r="G396" s="1"/>
      <c r="H396" s="2">
        <v>6.7469934452579596E-3</v>
      </c>
      <c r="I396" s="2"/>
      <c r="J396" s="1"/>
      <c r="K396" s="1"/>
      <c r="L396" s="1"/>
      <c r="M396" s="1"/>
      <c r="N396" s="1"/>
      <c r="O396" s="1">
        <v>1</v>
      </c>
      <c r="P396" s="1"/>
      <c r="Q396" s="1"/>
    </row>
    <row r="397" spans="1:17" x14ac:dyDescent="0.3">
      <c r="A397" s="1" t="s">
        <v>62</v>
      </c>
      <c r="B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3">
      <c r="B398" s="5" t="s">
        <v>403</v>
      </c>
      <c r="C398" s="1" t="s">
        <v>1</v>
      </c>
      <c r="D398" s="1"/>
      <c r="E398" s="2">
        <v>0.51521766267569602</v>
      </c>
      <c r="F398" s="1"/>
      <c r="G398" s="1"/>
      <c r="H398" s="1"/>
      <c r="I398" s="1"/>
      <c r="J398" s="1"/>
      <c r="K398" s="1"/>
      <c r="L398" s="1">
        <v>2</v>
      </c>
      <c r="M398" s="1"/>
      <c r="N398" s="1"/>
      <c r="O398" s="1"/>
      <c r="P398" s="1"/>
      <c r="Q398" s="1"/>
    </row>
    <row r="399" spans="1:17" x14ac:dyDescent="0.3">
      <c r="B399" s="5" t="s">
        <v>404</v>
      </c>
      <c r="C399" s="1" t="s">
        <v>1</v>
      </c>
      <c r="D399" s="1"/>
      <c r="E399" s="2">
        <v>1.7765641825322E-2</v>
      </c>
      <c r="F399" s="1"/>
      <c r="G399" s="1"/>
      <c r="H399" s="1"/>
      <c r="I399" s="1"/>
      <c r="J399" s="1"/>
      <c r="K399" s="1"/>
      <c r="L399" s="1">
        <v>1</v>
      </c>
      <c r="M399" s="1"/>
      <c r="N399" s="1"/>
      <c r="O399" s="1"/>
      <c r="P399" s="1"/>
      <c r="Q399" s="1"/>
    </row>
    <row r="400" spans="1:17" x14ac:dyDescent="0.3">
      <c r="A400" s="1" t="s">
        <v>63</v>
      </c>
      <c r="B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3">
      <c r="B401" s="5" t="s">
        <v>405</v>
      </c>
      <c r="C401" s="1" t="s">
        <v>1</v>
      </c>
      <c r="D401" s="1"/>
      <c r="E401" s="1"/>
      <c r="F401" s="2">
        <v>1.0805113842824799E-2</v>
      </c>
      <c r="G401" s="1"/>
      <c r="H401" s="1"/>
      <c r="I401" s="1"/>
      <c r="J401" s="1"/>
      <c r="K401" s="1"/>
      <c r="L401" s="1"/>
      <c r="M401" s="1">
        <v>1</v>
      </c>
      <c r="N401" s="1"/>
      <c r="O401" s="1"/>
      <c r="P401" s="1"/>
      <c r="Q401" s="1"/>
    </row>
    <row r="402" spans="1:17" x14ac:dyDescent="0.3">
      <c r="B402" s="5" t="s">
        <v>406</v>
      </c>
      <c r="C402" s="1" t="s">
        <v>1</v>
      </c>
      <c r="D402" s="2">
        <v>2.01063394590862E-2</v>
      </c>
      <c r="E402" s="1"/>
      <c r="F402" s="1"/>
      <c r="G402" s="1"/>
      <c r="H402" s="1"/>
      <c r="I402" s="1"/>
      <c r="J402" s="1"/>
      <c r="K402" s="1">
        <v>1</v>
      </c>
      <c r="L402" s="1"/>
      <c r="M402" s="1"/>
      <c r="N402" s="1"/>
      <c r="O402" s="1"/>
      <c r="P402" s="1"/>
      <c r="Q402" s="1"/>
    </row>
    <row r="403" spans="1:17" x14ac:dyDescent="0.3">
      <c r="B403" s="5" t="s">
        <v>407</v>
      </c>
      <c r="C403" s="1" t="s">
        <v>1</v>
      </c>
      <c r="D403" s="1"/>
      <c r="E403" s="2">
        <v>0.28737973516851201</v>
      </c>
      <c r="F403" s="1"/>
      <c r="G403" s="1"/>
      <c r="H403" s="1"/>
      <c r="I403" s="1"/>
      <c r="J403" s="1"/>
      <c r="K403" s="1"/>
      <c r="L403" s="1">
        <v>3</v>
      </c>
      <c r="M403" s="1"/>
      <c r="N403" s="1"/>
      <c r="O403" s="1"/>
      <c r="P403" s="1"/>
      <c r="Q403" s="1"/>
    </row>
    <row r="404" spans="1:17" x14ac:dyDescent="0.3">
      <c r="B404" s="5" t="s">
        <v>408</v>
      </c>
      <c r="C404" s="1" t="s">
        <v>1</v>
      </c>
      <c r="D404" s="1"/>
      <c r="E404" s="1"/>
      <c r="F404" s="1"/>
      <c r="G404" s="1"/>
      <c r="H404" s="2">
        <v>0.13667274777657401</v>
      </c>
      <c r="I404" s="2"/>
      <c r="J404" s="1"/>
      <c r="K404" s="1"/>
      <c r="L404" s="1"/>
      <c r="M404" s="1"/>
      <c r="N404" s="1"/>
      <c r="O404" s="1">
        <v>5</v>
      </c>
      <c r="P404" s="1"/>
      <c r="Q404" s="1"/>
    </row>
    <row r="405" spans="1:17" x14ac:dyDescent="0.3">
      <c r="A405" s="1" t="s">
        <v>64</v>
      </c>
      <c r="B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3">
      <c r="A406" s="3"/>
      <c r="B406" s="6" t="s">
        <v>409</v>
      </c>
      <c r="C406" s="3" t="s">
        <v>5</v>
      </c>
      <c r="D406" s="3"/>
      <c r="E406" s="3"/>
      <c r="F406" s="4">
        <v>6.8315908299091399</v>
      </c>
      <c r="G406" s="4">
        <v>27.255113530821799</v>
      </c>
      <c r="H406" s="4">
        <v>0.58096568163765205</v>
      </c>
      <c r="I406" s="2">
        <f>J406/0.5</f>
        <v>0.50370420996659804</v>
      </c>
      <c r="J406" s="4">
        <v>0.25185210498329902</v>
      </c>
      <c r="K406" s="3"/>
      <c r="L406" s="3"/>
      <c r="M406" s="3">
        <v>214</v>
      </c>
      <c r="N406" s="3">
        <v>420</v>
      </c>
      <c r="O406" s="3">
        <v>1</v>
      </c>
      <c r="P406" s="1">
        <f>Q406/0.5</f>
        <v>40</v>
      </c>
      <c r="Q406" s="3">
        <v>20</v>
      </c>
    </row>
  </sheetData>
  <autoFilter ref="D2:J406" xr:uid="{2BA27414-21AE-453A-B4E3-F418C40EFB36}"/>
  <mergeCells count="5">
    <mergeCell ref="A1:A2"/>
    <mergeCell ref="C1:C2"/>
    <mergeCell ref="B1:B2"/>
    <mergeCell ref="D1:J1"/>
    <mergeCell ref="K1:Q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table_final_to_excel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</dc:creator>
  <cp:lastModifiedBy>Pedro Martins</cp:lastModifiedBy>
  <dcterms:created xsi:type="dcterms:W3CDTF">2025-09-12T17:33:36Z</dcterms:created>
  <dcterms:modified xsi:type="dcterms:W3CDTF">2025-11-08T21:35:09Z</dcterms:modified>
</cp:coreProperties>
</file>
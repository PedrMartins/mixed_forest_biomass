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 Martins\Desktop\Pastas\R_analises\mixed_forest_biomass\Table\"/>
    </mc:Choice>
  </mc:AlternateContent>
  <xr:revisionPtr revIDLastSave="0" documentId="13_ncr:1_{20E772C2-C06F-4346-8795-258C43F312E7}" xr6:coauthVersionLast="47" xr6:coauthVersionMax="47" xr10:uidLastSave="{00000000-0000-0000-0000-000000000000}"/>
  <bookViews>
    <workbookView xWindow="-108" yWindow="-108" windowWidth="23256" windowHeight="12456" xr2:uid="{D9900A7B-EF56-4405-A46F-E71FB364EDF2}"/>
  </bookViews>
  <sheets>
    <sheet name="table_final_to_excel" sheetId="1" r:id="rId1"/>
  </sheets>
  <definedNames>
    <definedName name="_xlnm._FilterDatabase" localSheetId="0" hidden="1">table_final_to_excel!$B$1:$I$1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06" i="1" l="1"/>
  <c r="Z406" i="1"/>
  <c r="Z390" i="1"/>
  <c r="Z388" i="1"/>
  <c r="Z385" i="1"/>
  <c r="Z359" i="1"/>
  <c r="Z323" i="1"/>
  <c r="Z321" i="1"/>
  <c r="Z312" i="1"/>
  <c r="Z311" i="1"/>
  <c r="Z310" i="1"/>
  <c r="Z309" i="1"/>
  <c r="Z305" i="1"/>
  <c r="Z293" i="1"/>
  <c r="Z282" i="1"/>
  <c r="Z277" i="1"/>
  <c r="Z272" i="1"/>
  <c r="Z269" i="1"/>
  <c r="Z263" i="1"/>
  <c r="Z261" i="1"/>
  <c r="Z255" i="1"/>
  <c r="Z250" i="1"/>
  <c r="Z194" i="1"/>
  <c r="Z174" i="1"/>
  <c r="Z139" i="1"/>
  <c r="Z95" i="1"/>
  <c r="Z87" i="1"/>
  <c r="Z63" i="1"/>
  <c r="Z56" i="1"/>
  <c r="Z55" i="1"/>
  <c r="Z50" i="1"/>
  <c r="Z42" i="1"/>
  <c r="Z30" i="1"/>
  <c r="Z11" i="1"/>
  <c r="S390" i="1"/>
  <c r="S388" i="1"/>
  <c r="S385" i="1"/>
  <c r="S359" i="1"/>
  <c r="S323" i="1"/>
  <c r="S321" i="1"/>
  <c r="S312" i="1"/>
  <c r="S311" i="1"/>
  <c r="S310" i="1"/>
  <c r="S309" i="1"/>
  <c r="S305" i="1"/>
  <c r="S293" i="1"/>
  <c r="S282" i="1"/>
  <c r="S277" i="1"/>
  <c r="S272" i="1"/>
  <c r="S269" i="1"/>
  <c r="S263" i="1"/>
  <c r="S261" i="1"/>
  <c r="S255" i="1"/>
  <c r="S250" i="1"/>
  <c r="S194" i="1"/>
  <c r="S174" i="1"/>
  <c r="S139" i="1"/>
  <c r="S95" i="1"/>
  <c r="S87" i="1"/>
  <c r="S63" i="1"/>
  <c r="S56" i="1"/>
  <c r="S55" i="1"/>
  <c r="S50" i="1"/>
  <c r="S42" i="1"/>
  <c r="S30" i="1"/>
  <c r="S11" i="1"/>
</calcChain>
</file>

<file path=xl/sharedStrings.xml><?xml version="1.0" encoding="utf-8"?>
<sst xmlns="http://schemas.openxmlformats.org/spreadsheetml/2006/main" count="3566" uniqueCount="491">
  <si>
    <t>Anacardiaceae</t>
  </si>
  <si>
    <t>Trop</t>
  </si>
  <si>
    <t>Annonaceae</t>
  </si>
  <si>
    <t>Apocynaceae</t>
  </si>
  <si>
    <t>Aquifoliaceae</t>
  </si>
  <si>
    <t>Temp</t>
  </si>
  <si>
    <t>Araliaceae</t>
  </si>
  <si>
    <t>Araucariaceae</t>
  </si>
  <si>
    <t>Arecaceae</t>
  </si>
  <si>
    <t>Asparagaceae</t>
  </si>
  <si>
    <t>Asteraceae</t>
  </si>
  <si>
    <t>Bignoniaceae</t>
  </si>
  <si>
    <t>Boraginaceae</t>
  </si>
  <si>
    <t>Canellaceae</t>
  </si>
  <si>
    <t>Cannabaceae</t>
  </si>
  <si>
    <t>Cardiopteridaceae</t>
  </si>
  <si>
    <t>Caricaceae</t>
  </si>
  <si>
    <t>Celastraceae</t>
  </si>
  <si>
    <t>Chrysobalanaceae</t>
  </si>
  <si>
    <t>Clethraceae</t>
  </si>
  <si>
    <t>Combretaceae</t>
  </si>
  <si>
    <t>Cunoniaceae</t>
  </si>
  <si>
    <t>Elaeocarpaceae</t>
  </si>
  <si>
    <t>Ericaceae</t>
  </si>
  <si>
    <t>Erythroxylaceae</t>
  </si>
  <si>
    <t>Euphorbiaceae</t>
  </si>
  <si>
    <t>Fabaceae</t>
  </si>
  <si>
    <t>Lamiaceae</t>
  </si>
  <si>
    <t>Lauraceae</t>
  </si>
  <si>
    <t>Loganiaceae</t>
  </si>
  <si>
    <t>Lythraceae</t>
  </si>
  <si>
    <t>Malpighiaceae</t>
  </si>
  <si>
    <t>Malvaceae</t>
  </si>
  <si>
    <t>Melastomataceae</t>
  </si>
  <si>
    <t>Meliaceae</t>
  </si>
  <si>
    <t>Monimiaceae</t>
  </si>
  <si>
    <t>Moraceae</t>
  </si>
  <si>
    <t>Myrtaceae</t>
  </si>
  <si>
    <t>Nyctaginaceae</t>
  </si>
  <si>
    <t>Olacaceae</t>
  </si>
  <si>
    <t>Opiliaceae</t>
  </si>
  <si>
    <t>Pentaphylacaceae</t>
  </si>
  <si>
    <t>Peraceae</t>
  </si>
  <si>
    <t>Phytolaccaceae</t>
  </si>
  <si>
    <t>Picramniaceae</t>
  </si>
  <si>
    <t>Podocarpaceae</t>
  </si>
  <si>
    <t>Polygonaceae</t>
  </si>
  <si>
    <t>Primulaceae</t>
  </si>
  <si>
    <t>Proteaceae</t>
  </si>
  <si>
    <t>Rhamnaceae</t>
  </si>
  <si>
    <t>Rosaceae</t>
  </si>
  <si>
    <t>Rubiaceae</t>
  </si>
  <si>
    <t>Rutaceae</t>
  </si>
  <si>
    <t>Sabiaceae</t>
  </si>
  <si>
    <t>Salicaceae</t>
  </si>
  <si>
    <t>Sapindaceae</t>
  </si>
  <si>
    <t>Sapotaceae</t>
  </si>
  <si>
    <t>Simaroubaceae</t>
  </si>
  <si>
    <t>Solanaceae</t>
  </si>
  <si>
    <t>Styracaceae</t>
  </si>
  <si>
    <t>Symplocaceae</t>
  </si>
  <si>
    <t>Thymelaeaceae</t>
  </si>
  <si>
    <t>Urticaceae</t>
  </si>
  <si>
    <t>Vochysiaceae</t>
  </si>
  <si>
    <t>Winteraceae</t>
  </si>
  <si>
    <t>Species Abundance</t>
  </si>
  <si>
    <t>MF1</t>
  </si>
  <si>
    <t>MF2</t>
  </si>
  <si>
    <t>MF3</t>
  </si>
  <si>
    <t>MF4</t>
  </si>
  <si>
    <t>MF5</t>
  </si>
  <si>
    <t>MF6</t>
  </si>
  <si>
    <t>Family</t>
  </si>
  <si>
    <t>Aboveground Biomass (Mg)</t>
  </si>
  <si>
    <t>Lithraea molleoides</t>
  </si>
  <si>
    <t>Tapirira guianensis</t>
  </si>
  <si>
    <t>Annona emarginata</t>
  </si>
  <si>
    <t>Astronium graveolens</t>
  </si>
  <si>
    <t>Annona mucosa</t>
  </si>
  <si>
    <t>Annona rugulosa</t>
  </si>
  <si>
    <t>Annona sylvatica</t>
  </si>
  <si>
    <t>Duguetia lanceolata</t>
  </si>
  <si>
    <t>Guatteria australis</t>
  </si>
  <si>
    <t>Guatteria hilariana</t>
  </si>
  <si>
    <t>Guatteria nigrescens</t>
  </si>
  <si>
    <t>Porcelia macrocarpa</t>
  </si>
  <si>
    <t>Rollinia silvatica</t>
  </si>
  <si>
    <t>Xylopia brasiliensis</t>
  </si>
  <si>
    <t>Xylopia langsdorffiana</t>
  </si>
  <si>
    <t>Aspidosperma olivaceum</t>
  </si>
  <si>
    <t>Aspidosperma polyneurum</t>
  </si>
  <si>
    <t>Aspidosperma quirandy</t>
  </si>
  <si>
    <t>Tabernaemontana laeta</t>
  </si>
  <si>
    <t>Ilex (=2015 2190)</t>
  </si>
  <si>
    <t>Ilex (=2015 2273)</t>
  </si>
  <si>
    <t>Ilex amara</t>
  </si>
  <si>
    <t>Ilex chamaedryfolia</t>
  </si>
  <si>
    <t>Ilex dumosa</t>
  </si>
  <si>
    <t>Ilex microdonta</t>
  </si>
  <si>
    <t>Ilex paraguariensis</t>
  </si>
  <si>
    <t>Ilex pseudobuxus</t>
  </si>
  <si>
    <t>Ilex taubertiana</t>
  </si>
  <si>
    <t>Ilex theezans</t>
  </si>
  <si>
    <t>Dendropanax cuneatus</t>
  </si>
  <si>
    <t>Schefflera angustissima</t>
  </si>
  <si>
    <t>Schefflera calva</t>
  </si>
  <si>
    <t>Araucaria angustifolia</t>
  </si>
  <si>
    <t>Euterpe edulis</t>
  </si>
  <si>
    <t>Syagrus romanzoffiana</t>
  </si>
  <si>
    <t>Cordyline fruticosa</t>
  </si>
  <si>
    <t>Baccharis oblongifolia</t>
  </si>
  <si>
    <t>Baccharis oreophila</t>
  </si>
  <si>
    <t>Chromolaena pedunculosa</t>
  </si>
  <si>
    <t>Critoniopsis stellata</t>
  </si>
  <si>
    <t>Dasyphyllum spinescens</t>
  </si>
  <si>
    <t>Gochnatia polymorpha</t>
  </si>
  <si>
    <t>Moquiniastrum polymorphum</t>
  </si>
  <si>
    <t>Piptocarpha regnellii</t>
  </si>
  <si>
    <t>Vernonanthura discolor</t>
  </si>
  <si>
    <t>Vernonanthura divaricata</t>
  </si>
  <si>
    <t>Vernonia discolor</t>
  </si>
  <si>
    <t>Vernonia sp.</t>
  </si>
  <si>
    <t>Handroanthus ochraceus</t>
  </si>
  <si>
    <t>Jacaranda cuspidifolia</t>
  </si>
  <si>
    <t>Jacaranda micrantha</t>
  </si>
  <si>
    <t>Jacaranda puberula</t>
  </si>
  <si>
    <t>Zeyheria tuberculosa</t>
  </si>
  <si>
    <t>Cordia sp.</t>
  </si>
  <si>
    <t>Patagonula americana</t>
  </si>
  <si>
    <t>Capsicodendron dinisii</t>
  </si>
  <si>
    <t>Trema micrantha</t>
  </si>
  <si>
    <t>Citronella paniculata</t>
  </si>
  <si>
    <t>Jacaratia heptaphylla</t>
  </si>
  <si>
    <t>Maytenus aquifolia</t>
  </si>
  <si>
    <t>Maytenus evonymoides</t>
  </si>
  <si>
    <t>Maytenus salicifolia</t>
  </si>
  <si>
    <t>Maytenus sp.1</t>
  </si>
  <si>
    <t>Licania kunthiana</t>
  </si>
  <si>
    <t>Clethra scabra</t>
  </si>
  <si>
    <t>Terminalia triflora</t>
  </si>
  <si>
    <t>Weinmannia paulliniifolia</t>
  </si>
  <si>
    <t>Sloanea lasiocoma</t>
  </si>
  <si>
    <t>Agarista oleifolia</t>
  </si>
  <si>
    <t>Erythroxylum cuneifolium</t>
  </si>
  <si>
    <t>Actinostemon concepcionis</t>
  </si>
  <si>
    <t>Alchornea glandulosa</t>
  </si>
  <si>
    <t>Alchornea triplinervia</t>
  </si>
  <si>
    <t>Croton floribundus</t>
  </si>
  <si>
    <t>Croton macrobothrys</t>
  </si>
  <si>
    <t>Micrandra sp.</t>
  </si>
  <si>
    <t>Sapium glandulosum</t>
  </si>
  <si>
    <t>Sebastiania brasiliensis</t>
  </si>
  <si>
    <t>Sebastiania klotzschiana</t>
  </si>
  <si>
    <t>Tetrorchidium rubrivenium</t>
  </si>
  <si>
    <t>Acacia polyphylla</t>
  </si>
  <si>
    <t>Anadenanthera sp.</t>
  </si>
  <si>
    <t>Cassia leptophylla</t>
  </si>
  <si>
    <t>Copaifera langsdorffii</t>
  </si>
  <si>
    <t>Copaifera trapezifolia</t>
  </si>
  <si>
    <t>Dalbergia brasiliensis</t>
  </si>
  <si>
    <t>Dalbergia myriantha</t>
  </si>
  <si>
    <t>Enterolobium sp.</t>
  </si>
  <si>
    <t>Erythrina falcata</t>
  </si>
  <si>
    <t>Exostyles godoyensis</t>
  </si>
  <si>
    <t>Holocalyx glaziovii</t>
  </si>
  <si>
    <t>Inga edwalii</t>
  </si>
  <si>
    <t>Inga marginata</t>
  </si>
  <si>
    <t>Inga sessilis</t>
  </si>
  <si>
    <t>Inga striata</t>
  </si>
  <si>
    <t>Leucochloron incuriale</t>
  </si>
  <si>
    <t>Lonchocarpus campestris</t>
  </si>
  <si>
    <t>Lonchocarpus cultratus</t>
  </si>
  <si>
    <t>Machaerium hatschbachii</t>
  </si>
  <si>
    <t>Machaerium minutiflorum</t>
  </si>
  <si>
    <t>Machaerium nyctitans</t>
  </si>
  <si>
    <t>Machaerium paraguariense</t>
  </si>
  <si>
    <t>Machaerium scleroxylon</t>
  </si>
  <si>
    <t>Machaerium sp.</t>
  </si>
  <si>
    <t>Machaerium stipitatum</t>
  </si>
  <si>
    <t>Machaerium vestitum</t>
  </si>
  <si>
    <t>Machaerium villosum</t>
  </si>
  <si>
    <t>Mimosa scabrela</t>
  </si>
  <si>
    <t>Mimosa scabrella</t>
  </si>
  <si>
    <t>Ormosia sp.</t>
  </si>
  <si>
    <t>Parapiptadenia rigida</t>
  </si>
  <si>
    <t>Piptadenia gonoacantha</t>
  </si>
  <si>
    <t>Pithecellobium langsdorffii</t>
  </si>
  <si>
    <t>Poecilanthe parviflora</t>
  </si>
  <si>
    <t>Senna macranthera</t>
  </si>
  <si>
    <t>Senna multijuga</t>
  </si>
  <si>
    <t>Swartzia acutifolia</t>
  </si>
  <si>
    <t>Aegiphila integrifolia</t>
  </si>
  <si>
    <t>Vitex polygama</t>
  </si>
  <si>
    <t>Cinnamomum glaziovii</t>
  </si>
  <si>
    <t>Cinnamomum sellowianum</t>
  </si>
  <si>
    <t>Cinnamomum sp.1</t>
  </si>
  <si>
    <t>Cinnamomum triplinerve</t>
  </si>
  <si>
    <t>Endlicheria paniculata</t>
  </si>
  <si>
    <t>Nectandra angustifolia</t>
  </si>
  <si>
    <t>Nectandra lanceolata</t>
  </si>
  <si>
    <t>Nectandra megapotamica</t>
  </si>
  <si>
    <t>Nectandra nitidula</t>
  </si>
  <si>
    <t>Nectandra oppositifolia</t>
  </si>
  <si>
    <t>Ocotea bicolor</t>
  </si>
  <si>
    <t>Ocotea brachybotra</t>
  </si>
  <si>
    <t>Ocotea corymbosa</t>
  </si>
  <si>
    <t>Ocotea diospyrifolia</t>
  </si>
  <si>
    <t>Ocotea dispersa</t>
  </si>
  <si>
    <t>Ocotea elegans</t>
  </si>
  <si>
    <t>Ocotea glaziovii</t>
  </si>
  <si>
    <t>Ocotea indecora</t>
  </si>
  <si>
    <t>Ocotea nutans</t>
  </si>
  <si>
    <t>Ocotea odorifera</t>
  </si>
  <si>
    <t>Ocotea prolifera</t>
  </si>
  <si>
    <t>Ocotea puberula</t>
  </si>
  <si>
    <t>Ocotea pulchella</t>
  </si>
  <si>
    <t>Ocotea silvestris</t>
  </si>
  <si>
    <t>Ocotea sp.</t>
  </si>
  <si>
    <t>Ocotea teleiandra</t>
  </si>
  <si>
    <t>Persea alba</t>
  </si>
  <si>
    <t>Persea microneura</t>
  </si>
  <si>
    <t>Persea sp.</t>
  </si>
  <si>
    <t>Persea willdenovii</t>
  </si>
  <si>
    <t>Strichnos brasiliensis</t>
  </si>
  <si>
    <t>Lafoensia pacari</t>
  </si>
  <si>
    <t>Bunchosia pallescens</t>
  </si>
  <si>
    <t>Ceiba speciosa</t>
  </si>
  <si>
    <t>Guazuma ulmifolia</t>
  </si>
  <si>
    <t>Luehea divaricata</t>
  </si>
  <si>
    <t>Pseudobombax grandiflorum</t>
  </si>
  <si>
    <t>Miconia budlejoides</t>
  </si>
  <si>
    <t>Miconia cinerascens</t>
  </si>
  <si>
    <t>Miconia doriana</t>
  </si>
  <si>
    <t>Miconia hymenonervia</t>
  </si>
  <si>
    <t>Miconia ligustroides</t>
  </si>
  <si>
    <t>Miconia petropolitana</t>
  </si>
  <si>
    <t>Miconia pusiliflora</t>
  </si>
  <si>
    <t>Miconia shepherdii</t>
  </si>
  <si>
    <t>Miconia sp.</t>
  </si>
  <si>
    <t>Miconia tristis</t>
  </si>
  <si>
    <t>Cabralea canjerana</t>
  </si>
  <si>
    <t>Cedrela fissilis</t>
  </si>
  <si>
    <t>Guarea macrophylla</t>
  </si>
  <si>
    <t>Trichilia catigua</t>
  </si>
  <si>
    <t>Trichilia claussenii</t>
  </si>
  <si>
    <t>Trichilia elegans</t>
  </si>
  <si>
    <t>Trichilia pallida</t>
  </si>
  <si>
    <t>Mollinedia argyrogyna</t>
  </si>
  <si>
    <t>Mollinedia elegans</t>
  </si>
  <si>
    <t>Mollinedia schottiana</t>
  </si>
  <si>
    <t>Ficus luschnathiana</t>
  </si>
  <si>
    <t>Ficus sp.</t>
  </si>
  <si>
    <t>Sorocea bonplandii</t>
  </si>
  <si>
    <t>Blepharocalyx salicifolius</t>
  </si>
  <si>
    <t>Calyptranthes (=1475 coletado)</t>
  </si>
  <si>
    <t>Calyptranthes grandifolia</t>
  </si>
  <si>
    <t>Calyptranthes lucida</t>
  </si>
  <si>
    <t>Calyptranthes sp.</t>
  </si>
  <si>
    <t>Calyptranthes widgreniana</t>
  </si>
  <si>
    <t>Campomanesia eugenioides</t>
  </si>
  <si>
    <t>Campomanesia guazumifolia</t>
  </si>
  <si>
    <t>Campomanesia sp.</t>
  </si>
  <si>
    <t>Campomanesia sp.2</t>
  </si>
  <si>
    <t>Campomanesia xanthocarpa</t>
  </si>
  <si>
    <t>Eugenia cerasiflora</t>
  </si>
  <si>
    <t>Eugenia dodonaeifolia</t>
  </si>
  <si>
    <t>Eugenia involucrata</t>
  </si>
  <si>
    <t>Eugenia ligustrina</t>
  </si>
  <si>
    <t>Eugenia neoformosa</t>
  </si>
  <si>
    <t>Eugenia neoverrucosa</t>
  </si>
  <si>
    <t>Eugenia pluriflora</t>
  </si>
  <si>
    <t>Eugenia ramboi</t>
  </si>
  <si>
    <t>Eugenia sp.</t>
  </si>
  <si>
    <t>Eugenia sp.2</t>
  </si>
  <si>
    <t>Eugenia sp.7</t>
  </si>
  <si>
    <t>Eugenia speciosa</t>
  </si>
  <si>
    <t>Eugenia stenophylla</t>
  </si>
  <si>
    <t>Eugenia stictosepala</t>
  </si>
  <si>
    <t>Eugenia uniflora</t>
  </si>
  <si>
    <t>Myciaria tenella</t>
  </si>
  <si>
    <t>Myrceugenia bracteosa</t>
  </si>
  <si>
    <t>Myrceugenia brevipedicellata</t>
  </si>
  <si>
    <t>Myrceugenia campestris</t>
  </si>
  <si>
    <t>Myrceugenia miersiana</t>
  </si>
  <si>
    <t>Myrceugenia ovata</t>
  </si>
  <si>
    <t>Myrceugenia regnelliana</t>
  </si>
  <si>
    <t>Myrceugenia rufescens</t>
  </si>
  <si>
    <t>Myrceugenia scutellata</t>
  </si>
  <si>
    <t>Myrceugenia sp. 2</t>
  </si>
  <si>
    <t>Myrcia aethusa</t>
  </si>
  <si>
    <t>Myrcia bicarinata</t>
  </si>
  <si>
    <t>Myrcia guianensis</t>
  </si>
  <si>
    <t>Myrcia hartwegiana</t>
  </si>
  <si>
    <t>Myrcia laruotteana</t>
  </si>
  <si>
    <t>Myrcia multiflora</t>
  </si>
  <si>
    <t>Myrcia pulchra</t>
  </si>
  <si>
    <t>Myrcia retorta</t>
  </si>
  <si>
    <t>Myrcia rostrata</t>
  </si>
  <si>
    <t>Myrcia splendens</t>
  </si>
  <si>
    <t>Myrcia subcordata</t>
  </si>
  <si>
    <t>Myrcia tenuivenosa</t>
  </si>
  <si>
    <t>Myrcia tomentosa</t>
  </si>
  <si>
    <t>Myrcia venulosa</t>
  </si>
  <si>
    <t>Myrciaria rivularis</t>
  </si>
  <si>
    <t>Myrciaria tenella</t>
  </si>
  <si>
    <t>Neomitranthes pedicellata</t>
  </si>
  <si>
    <t>Neomitranthes sp</t>
  </si>
  <si>
    <t>Pimenta pseudocaryophyllus</t>
  </si>
  <si>
    <t>Plinia cauliflora</t>
  </si>
  <si>
    <t>Plinia rivularis</t>
  </si>
  <si>
    <t>Psidium sp.</t>
  </si>
  <si>
    <t>Psidum sp.1</t>
  </si>
  <si>
    <t>Siphoneugena crassifolia</t>
  </si>
  <si>
    <t>Siphoneugena densiflora</t>
  </si>
  <si>
    <t>Siphoneugena reitzii</t>
  </si>
  <si>
    <t>Guapira opposita</t>
  </si>
  <si>
    <t>Tetrastylidium grandifolium</t>
  </si>
  <si>
    <t>Chionanthus filiformis</t>
  </si>
  <si>
    <t>Agonandra brasiliensis</t>
  </si>
  <si>
    <t>Ternstroemia brasiliensis</t>
  </si>
  <si>
    <t>Pera glabrata</t>
  </si>
  <si>
    <t>Seguieria langsdorffii</t>
  </si>
  <si>
    <t>Picramnia glazioviana</t>
  </si>
  <si>
    <t>Picramnia parvifolia</t>
  </si>
  <si>
    <t>Picramnia sellowii</t>
  </si>
  <si>
    <t>Picramnia sp</t>
  </si>
  <si>
    <t>Picramnia sp.2</t>
  </si>
  <si>
    <t>Podocarpus lambertii</t>
  </si>
  <si>
    <t>Coccoloba warmingii</t>
  </si>
  <si>
    <t>Myrsine coriacea</t>
  </si>
  <si>
    <t>Myrsine gardneriana</t>
  </si>
  <si>
    <t>Myrsine lancifolia</t>
  </si>
  <si>
    <t>Myrsine umbellata</t>
  </si>
  <si>
    <t>Rapanea loefgrenii</t>
  </si>
  <si>
    <t>Rapanea umbellata</t>
  </si>
  <si>
    <t>Roupala brasiliensis</t>
  </si>
  <si>
    <t>Roupala montana</t>
  </si>
  <si>
    <t>Colubrina glandulosa</t>
  </si>
  <si>
    <t>Rhamnidium elaeocarpum</t>
  </si>
  <si>
    <t>Rhamnus sphaerosperma</t>
  </si>
  <si>
    <t>Prunus myrtifolia</t>
  </si>
  <si>
    <t>Alibertia concolor</t>
  </si>
  <si>
    <t>Alibertia myrciifolia</t>
  </si>
  <si>
    <t>Amaioua intermedia</t>
  </si>
  <si>
    <t>Chomelia obtusa</t>
  </si>
  <si>
    <t>Cordiera myricifolia</t>
  </si>
  <si>
    <t>Coutarea hexandra</t>
  </si>
  <si>
    <t>Faramea montevidensis</t>
  </si>
  <si>
    <t>Faramea sp.</t>
  </si>
  <si>
    <t>Ixora venulosa</t>
  </si>
  <si>
    <t>Psychotria longipes</t>
  </si>
  <si>
    <t>Psychotria suterella</t>
  </si>
  <si>
    <t>Psychotria vellosiana</t>
  </si>
  <si>
    <t>Rudgea gardenoides</t>
  </si>
  <si>
    <t>Rudgea jasminoides</t>
  </si>
  <si>
    <t>Rudgea triflora</t>
  </si>
  <si>
    <t>Helietta apiculata</t>
  </si>
  <si>
    <t>Pilocarpus pennatifolius</t>
  </si>
  <si>
    <t>Zanthoxylum caribaeum</t>
  </si>
  <si>
    <t>Zanthoxylum fagara</t>
  </si>
  <si>
    <t>Zanthoxylum monogynum</t>
  </si>
  <si>
    <t>Zanthoxylum rhoifolium</t>
  </si>
  <si>
    <t>Meliosma sp.</t>
  </si>
  <si>
    <t>Casearia decandra</t>
  </si>
  <si>
    <t>Casearia gossypiosperma</t>
  </si>
  <si>
    <t>Casearia lasiophylla</t>
  </si>
  <si>
    <t>Casearia obliqua</t>
  </si>
  <si>
    <t>Casearia sylvestris</t>
  </si>
  <si>
    <t>Prockia crucis</t>
  </si>
  <si>
    <t>Xylosma ciliatifolia</t>
  </si>
  <si>
    <t>Xylosma tweediana</t>
  </si>
  <si>
    <t>Allophylus edulis</t>
  </si>
  <si>
    <t>Cupania oblongifolia</t>
  </si>
  <si>
    <t>Cupania tenuivalvis</t>
  </si>
  <si>
    <t>Cupania vernalis</t>
  </si>
  <si>
    <t>Diatenopteryx sorbifolia</t>
  </si>
  <si>
    <t>Matayba elaeagnoides</t>
  </si>
  <si>
    <t>Chrysophyllum gonocarpum</t>
  </si>
  <si>
    <t>Chrysophyllum marginatum</t>
  </si>
  <si>
    <t>Pouteria gardneri</t>
  </si>
  <si>
    <t>Pouteria gardneriana</t>
  </si>
  <si>
    <t>Picrasma crenata</t>
  </si>
  <si>
    <t>Cestrum intermedium</t>
  </si>
  <si>
    <t>Solanum (=231)</t>
  </si>
  <si>
    <t>Solanum argentum</t>
  </si>
  <si>
    <t>Solanum bullatum</t>
  </si>
  <si>
    <t>Solanum concinnum</t>
  </si>
  <si>
    <t>Solanum mauritianum</t>
  </si>
  <si>
    <t>Solanum pseudoquina</t>
  </si>
  <si>
    <t>Solanum rufescens</t>
  </si>
  <si>
    <t>Solanum sanctae-catharinae</t>
  </si>
  <si>
    <t>Solanum swartzianum</t>
  </si>
  <si>
    <t>Styrax camporum</t>
  </si>
  <si>
    <t>Styrax leprosus</t>
  </si>
  <si>
    <t>Styrax pohlii</t>
  </si>
  <si>
    <t>Symplocos celastrinea</t>
  </si>
  <si>
    <t>Symplocos estrellensis</t>
  </si>
  <si>
    <t>Symplocos falcata</t>
  </si>
  <si>
    <t>Symplocos insignis</t>
  </si>
  <si>
    <t>Symplocos pubescens</t>
  </si>
  <si>
    <t>Symplocos revoluta</t>
  </si>
  <si>
    <t>Symplocos variabilis</t>
  </si>
  <si>
    <t>Daphnopsis sellowiana</t>
  </si>
  <si>
    <t>Cecropia glaziovii</t>
  </si>
  <si>
    <t>Cecropia pachystachya</t>
  </si>
  <si>
    <t>Callisthene fasciculata</t>
  </si>
  <si>
    <t>Vochysia bifalcata</t>
  </si>
  <si>
    <t>Vochysia magnifica</t>
  </si>
  <si>
    <t>Vochysia saldanhana</t>
  </si>
  <si>
    <t>Drimys brasiliensis</t>
  </si>
  <si>
    <t>Jacaranda sp.</t>
  </si>
  <si>
    <t>Erythroxyllum sp.</t>
  </si>
  <si>
    <t>Eugenia sp.3</t>
  </si>
  <si>
    <t>Eugenia sp.4</t>
  </si>
  <si>
    <t xml:space="preserve">Species </t>
  </si>
  <si>
    <t>Phyto. Ori.</t>
  </si>
  <si>
    <t>taxon.rank</t>
  </si>
  <si>
    <t>taxon.status</t>
  </si>
  <si>
    <t>search.str</t>
  </si>
  <si>
    <t>threat.status.cnc</t>
  </si>
  <si>
    <t>threat.status.mma</t>
  </si>
  <si>
    <t>threat.status.mma2022</t>
  </si>
  <si>
    <t>notes</t>
  </si>
  <si>
    <t>original.search</t>
  </si>
  <si>
    <t>species</t>
  </si>
  <si>
    <t>accepted</t>
  </si>
  <si>
    <t>LC</t>
  </si>
  <si>
    <t>NA</t>
  </si>
  <si>
    <t>Schinus terebinthifolia</t>
  </si>
  <si>
    <t>was misspelled|replaced synonym</t>
  </si>
  <si>
    <t>Schinus terebenthifolius</t>
  </si>
  <si>
    <t>LC|VU</t>
  </si>
  <si>
    <t>replaced synonym</t>
  </si>
  <si>
    <t>NT</t>
  </si>
  <si>
    <t>VU</t>
  </si>
  <si>
    <t>Aspidosperma polyneuron</t>
  </si>
  <si>
    <t>was misspelled</t>
  </si>
  <si>
    <t>not found</t>
  </si>
  <si>
    <t>Didymopanax angustissimus</t>
  </si>
  <si>
    <t>Didymopanax calvus</t>
  </si>
  <si>
    <t>EN</t>
  </si>
  <si>
    <t>genus</t>
  </si>
  <si>
    <t>Jacaranda sp</t>
  </si>
  <si>
    <t>Cordiaceae</t>
  </si>
  <si>
    <t>Cordia americana</t>
  </si>
  <si>
    <t>Cinnamodendron dinisii</t>
  </si>
  <si>
    <t>Monteverdia aquifolium</t>
  </si>
  <si>
    <t>Monteverdia evonymoides</t>
  </si>
  <si>
    <t>Monteverdia gonoclada</t>
  </si>
  <si>
    <t>DD</t>
  </si>
  <si>
    <t>Erythroxyllum sp</t>
  </si>
  <si>
    <t>Gymnanthes klotzschiana</t>
  </si>
  <si>
    <t>Senegalia polyphylla</t>
  </si>
  <si>
    <t>was misspelled|check undefined status</t>
  </si>
  <si>
    <t>Inga edwallii</t>
  </si>
  <si>
    <t>Muellera campestris</t>
  </si>
  <si>
    <t>Machaerium brasiliense</t>
  </si>
  <si>
    <t>Abarema langsdorffii</t>
  </si>
  <si>
    <t>Aiouea glaziovii</t>
  </si>
  <si>
    <t>Aiouea sellowiana</t>
  </si>
  <si>
    <t>Aiouea montana</t>
  </si>
  <si>
    <t>Ocotea brachybotrya</t>
  </si>
  <si>
    <t>Cinnamomum microneurum</t>
  </si>
  <si>
    <t>Strychnos brasiliensis</t>
  </si>
  <si>
    <t>Miconia buddlejoides</t>
  </si>
  <si>
    <t>Miconia paniculata</t>
  </si>
  <si>
    <t>Miconia pusilliflora</t>
  </si>
  <si>
    <t>Trichilia clausseni</t>
  </si>
  <si>
    <t>Myrcia loranthifolia</t>
  </si>
  <si>
    <t>Myrcia neolucida</t>
  </si>
  <si>
    <t>Myrcia sp.</t>
  </si>
  <si>
    <t>Myrcia glomerata</t>
  </si>
  <si>
    <t>Eugenia (laranja)</t>
  </si>
  <si>
    <t>Eugenia (miuda, branca)</t>
  </si>
  <si>
    <t>Eugenia sphenophylla</t>
  </si>
  <si>
    <t>Eugenia prasina</t>
  </si>
  <si>
    <t>Myrceugenia sp.</t>
  </si>
  <si>
    <t>Myrcia selloi</t>
  </si>
  <si>
    <t>Plinia peruviana</t>
  </si>
  <si>
    <t>Strombosiaceae</t>
  </si>
  <si>
    <t>Oleaceae</t>
  </si>
  <si>
    <t>Myrsine loefgrenii</t>
  </si>
  <si>
    <t>variety</t>
  </si>
  <si>
    <t>Roupala montana var. brasiliensis</t>
  </si>
  <si>
    <t>synonym</t>
  </si>
  <si>
    <t>check no accepted name</t>
  </si>
  <si>
    <t>Cordiera concolor</t>
  </si>
  <si>
    <t>Cordiera myrciifolia</t>
  </si>
  <si>
    <t>Palicourea sessilis</t>
  </si>
  <si>
    <t>Rudgea gardenioides</t>
  </si>
  <si>
    <t>Solanum argenteum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</si>
</sst>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7414-21AE-453A-B4E3-F418C40EFB36}">
  <dimension ref="A1:AA406"/>
  <sheetViews>
    <sheetView tabSelected="1" zoomScaleNormal="100" workbookViewId="0">
      <pane ySplit="2" topLeftCell="A215" activePane="bottomLeft" state="frozen"/>
      <selection activeCell="E1" sqref="E1"/>
      <selection pane="bottomLeft" activeCell="H223" sqref="H223"/>
    </sheetView>
  </sheetViews>
  <sheetFormatPr defaultRowHeight="14.4" x14ac:dyDescent="0.3"/>
  <cols>
    <col min="1" max="1" width="24.6640625" customWidth="1"/>
    <col min="4" max="4" width="21.21875" customWidth="1"/>
    <col min="11" max="11" width="17.6640625" style="1" bestFit="1" customWidth="1"/>
    <col min="12" max="12" width="29.109375" style="1" bestFit="1" customWidth="1"/>
    <col min="13" max="13" width="19.109375" style="1" customWidth="1"/>
    <col min="14" max="18" width="9.109375" bestFit="1" customWidth="1"/>
    <col min="19" max="19" width="9.109375" customWidth="1"/>
    <col min="20" max="20" width="9.109375" bestFit="1" customWidth="1"/>
  </cols>
  <sheetData>
    <row r="1" spans="1:27" x14ac:dyDescent="0.3">
      <c r="B1" t="s">
        <v>416</v>
      </c>
      <c r="C1" t="s">
        <v>417</v>
      </c>
      <c r="D1" t="s">
        <v>418</v>
      </c>
      <c r="E1" t="s">
        <v>419</v>
      </c>
      <c r="F1" t="s">
        <v>420</v>
      </c>
      <c r="G1" t="s">
        <v>421</v>
      </c>
      <c r="H1" t="s">
        <v>422</v>
      </c>
      <c r="I1" t="s">
        <v>423</v>
      </c>
      <c r="K1" s="7" t="s">
        <v>72</v>
      </c>
      <c r="L1" s="7" t="s">
        <v>414</v>
      </c>
      <c r="M1" s="9" t="s">
        <v>415</v>
      </c>
      <c r="N1" s="11" t="s">
        <v>73</v>
      </c>
      <c r="O1" s="11"/>
      <c r="P1" s="11"/>
      <c r="Q1" s="11"/>
      <c r="R1" s="11"/>
      <c r="S1" s="11"/>
      <c r="T1" s="11"/>
      <c r="U1" s="11" t="s">
        <v>65</v>
      </c>
      <c r="V1" s="11"/>
      <c r="W1" s="11"/>
      <c r="X1" s="11"/>
      <c r="Y1" s="11"/>
      <c r="Z1" s="11"/>
      <c r="AA1" s="11"/>
    </row>
    <row r="2" spans="1:27" x14ac:dyDescent="0.3">
      <c r="K2" s="8"/>
      <c r="L2" s="8"/>
      <c r="M2" s="10"/>
      <c r="N2" s="3" t="s">
        <v>66</v>
      </c>
      <c r="O2" s="3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71</v>
      </c>
      <c r="U2" s="3" t="s">
        <v>66</v>
      </c>
      <c r="V2" s="3" t="s">
        <v>67</v>
      </c>
      <c r="W2" s="3" t="s">
        <v>68</v>
      </c>
      <c r="X2" s="3" t="s">
        <v>69</v>
      </c>
      <c r="Y2" s="3" t="s">
        <v>70</v>
      </c>
      <c r="Z2" s="3" t="s">
        <v>71</v>
      </c>
      <c r="AA2" s="3" t="s">
        <v>71</v>
      </c>
    </row>
    <row r="3" spans="1:27" x14ac:dyDescent="0.3">
      <c r="K3" s="1" t="s">
        <v>0</v>
      </c>
      <c r="L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3">
      <c r="A4" t="s">
        <v>0</v>
      </c>
      <c r="B4" t="s">
        <v>424</v>
      </c>
      <c r="C4" t="s">
        <v>425</v>
      </c>
      <c r="D4" t="s">
        <v>77</v>
      </c>
      <c r="E4" t="s">
        <v>426</v>
      </c>
      <c r="F4" t="s">
        <v>427</v>
      </c>
      <c r="G4" t="s">
        <v>427</v>
      </c>
      <c r="I4" t="s">
        <v>77</v>
      </c>
      <c r="L4" s="5" t="s">
        <v>77</v>
      </c>
      <c r="M4" s="1" t="s">
        <v>1</v>
      </c>
      <c r="N4" s="1"/>
      <c r="O4" s="2">
        <v>0.61289067743550596</v>
      </c>
      <c r="P4" s="1"/>
      <c r="Q4" s="1"/>
      <c r="R4" s="1"/>
      <c r="S4" s="1"/>
      <c r="T4" s="1"/>
      <c r="U4" s="1"/>
      <c r="V4" s="1">
        <v>7</v>
      </c>
      <c r="W4" s="1"/>
      <c r="X4" s="1"/>
      <c r="Y4" s="1"/>
      <c r="Z4" s="1"/>
      <c r="AA4" s="1"/>
    </row>
    <row r="5" spans="1:27" x14ac:dyDescent="0.3">
      <c r="A5" t="s">
        <v>0</v>
      </c>
      <c r="B5" t="s">
        <v>424</v>
      </c>
      <c r="C5" t="s">
        <v>425</v>
      </c>
      <c r="D5" t="s">
        <v>74</v>
      </c>
      <c r="E5" t="s">
        <v>427</v>
      </c>
      <c r="F5" t="s">
        <v>427</v>
      </c>
      <c r="G5" t="s">
        <v>427</v>
      </c>
      <c r="I5" t="s">
        <v>74</v>
      </c>
      <c r="L5" s="5" t="s">
        <v>74</v>
      </c>
      <c r="M5" s="1" t="s">
        <v>1</v>
      </c>
      <c r="N5" s="1"/>
      <c r="O5" s="2">
        <v>1.4469220502351501</v>
      </c>
      <c r="P5" s="1"/>
      <c r="Q5" s="1"/>
      <c r="R5" s="1"/>
      <c r="S5" s="1"/>
      <c r="T5" s="1"/>
      <c r="U5" s="1"/>
      <c r="V5" s="1">
        <v>3</v>
      </c>
      <c r="W5" s="1"/>
      <c r="X5" s="1"/>
      <c r="Y5" s="1"/>
      <c r="Z5" s="1"/>
      <c r="AA5" s="1"/>
    </row>
    <row r="6" spans="1:27" x14ac:dyDescent="0.3">
      <c r="A6" t="s">
        <v>0</v>
      </c>
      <c r="B6" t="s">
        <v>424</v>
      </c>
      <c r="C6" t="s">
        <v>425</v>
      </c>
      <c r="D6" t="s">
        <v>428</v>
      </c>
      <c r="E6" t="s">
        <v>427</v>
      </c>
      <c r="F6" t="s">
        <v>427</v>
      </c>
      <c r="G6" t="s">
        <v>427</v>
      </c>
      <c r="H6" t="s">
        <v>429</v>
      </c>
      <c r="I6" t="s">
        <v>430</v>
      </c>
      <c r="L6" t="s">
        <v>428</v>
      </c>
      <c r="M6" s="1" t="s">
        <v>1</v>
      </c>
      <c r="N6" s="2">
        <v>1.1215975720457501</v>
      </c>
      <c r="O6" s="1"/>
      <c r="P6" s="1"/>
      <c r="Q6" s="1"/>
      <c r="R6" s="1"/>
      <c r="S6" s="1"/>
      <c r="T6" s="1"/>
      <c r="U6" s="1">
        <v>8</v>
      </c>
      <c r="V6" s="1"/>
      <c r="W6" s="1"/>
      <c r="X6" s="1"/>
      <c r="Y6" s="1"/>
      <c r="Z6" s="1"/>
      <c r="AA6" s="1"/>
    </row>
    <row r="7" spans="1:27" x14ac:dyDescent="0.3">
      <c r="A7" t="s">
        <v>0</v>
      </c>
      <c r="B7" t="s">
        <v>424</v>
      </c>
      <c r="C7" t="s">
        <v>425</v>
      </c>
      <c r="D7" t="s">
        <v>75</v>
      </c>
      <c r="E7" t="s">
        <v>427</v>
      </c>
      <c r="F7" t="s">
        <v>427</v>
      </c>
      <c r="G7" t="s">
        <v>427</v>
      </c>
      <c r="I7" t="s">
        <v>75</v>
      </c>
      <c r="L7" s="5" t="s">
        <v>75</v>
      </c>
      <c r="M7" s="1" t="s">
        <v>1</v>
      </c>
      <c r="N7" s="1"/>
      <c r="O7" s="2">
        <v>0.30782181005286002</v>
      </c>
      <c r="P7" s="1"/>
      <c r="Q7" s="1"/>
      <c r="R7" s="1"/>
      <c r="S7" s="1"/>
      <c r="T7" s="1"/>
      <c r="U7" s="1"/>
      <c r="V7" s="1">
        <v>5</v>
      </c>
      <c r="W7" s="1"/>
      <c r="X7" s="1"/>
      <c r="Y7" s="1"/>
      <c r="Z7" s="1"/>
      <c r="AA7" s="1"/>
    </row>
    <row r="8" spans="1:27" x14ac:dyDescent="0.3">
      <c r="K8" s="1" t="s">
        <v>2</v>
      </c>
      <c r="L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3">
      <c r="A9" t="s">
        <v>2</v>
      </c>
      <c r="B9" t="s">
        <v>424</v>
      </c>
      <c r="C9" t="s">
        <v>425</v>
      </c>
      <c r="D9" t="s">
        <v>76</v>
      </c>
      <c r="E9" t="s">
        <v>431</v>
      </c>
      <c r="F9" t="s">
        <v>427</v>
      </c>
      <c r="G9" t="s">
        <v>427</v>
      </c>
      <c r="I9" t="s">
        <v>76</v>
      </c>
      <c r="L9" s="5" t="s">
        <v>76</v>
      </c>
      <c r="M9" s="1" t="s">
        <v>1</v>
      </c>
      <c r="N9" s="1"/>
      <c r="O9" s="1"/>
      <c r="P9" s="1"/>
      <c r="Q9" s="2">
        <v>6.4121715924541897E-2</v>
      </c>
      <c r="R9" s="1"/>
      <c r="S9" s="1"/>
      <c r="T9" s="1"/>
      <c r="U9" s="1"/>
      <c r="V9" s="1"/>
      <c r="W9" s="1"/>
      <c r="X9" s="1">
        <v>3</v>
      </c>
      <c r="Y9" s="1"/>
      <c r="Z9" s="1"/>
      <c r="AA9" s="1"/>
    </row>
    <row r="10" spans="1:27" x14ac:dyDescent="0.3">
      <c r="A10" t="s">
        <v>2</v>
      </c>
      <c r="B10" t="s">
        <v>424</v>
      </c>
      <c r="C10" t="s">
        <v>425</v>
      </c>
      <c r="D10" t="s">
        <v>78</v>
      </c>
      <c r="E10" t="s">
        <v>427</v>
      </c>
      <c r="F10" t="s">
        <v>427</v>
      </c>
      <c r="G10" t="s">
        <v>427</v>
      </c>
      <c r="I10" t="s">
        <v>78</v>
      </c>
      <c r="L10" s="5" t="s">
        <v>78</v>
      </c>
      <c r="M10" s="1" t="s">
        <v>1</v>
      </c>
      <c r="N10" s="1"/>
      <c r="O10" s="1"/>
      <c r="P10" s="1"/>
      <c r="Q10" s="1"/>
      <c r="R10" s="2">
        <v>0.22948618630253301</v>
      </c>
      <c r="S10" s="2"/>
      <c r="T10" s="1"/>
      <c r="U10" s="1"/>
      <c r="V10" s="1"/>
      <c r="W10" s="1"/>
      <c r="X10" s="1"/>
      <c r="Y10" s="1">
        <v>8</v>
      </c>
      <c r="Z10" s="1"/>
      <c r="AA10" s="1"/>
    </row>
    <row r="11" spans="1:27" x14ac:dyDescent="0.3">
      <c r="A11" t="s">
        <v>2</v>
      </c>
      <c r="B11" t="s">
        <v>424</v>
      </c>
      <c r="C11" t="s">
        <v>425</v>
      </c>
      <c r="D11" t="s">
        <v>76</v>
      </c>
      <c r="E11" t="s">
        <v>431</v>
      </c>
      <c r="F11" t="s">
        <v>427</v>
      </c>
      <c r="G11" t="s">
        <v>427</v>
      </c>
      <c r="H11" t="s">
        <v>432</v>
      </c>
      <c r="I11" t="s">
        <v>79</v>
      </c>
      <c r="L11" s="5" t="s">
        <v>79</v>
      </c>
      <c r="M11" s="1" t="s">
        <v>1</v>
      </c>
      <c r="N11" s="1"/>
      <c r="O11" s="1"/>
      <c r="P11" s="2">
        <v>3.1046622449556298</v>
      </c>
      <c r="Q11" s="1"/>
      <c r="R11" s="1"/>
      <c r="S11" s="2">
        <f>T11/0.5</f>
        <v>1.0221958538643861</v>
      </c>
      <c r="T11" s="2">
        <v>0.51109792693219303</v>
      </c>
      <c r="U11" s="1"/>
      <c r="V11" s="1"/>
      <c r="W11" s="1">
        <v>78</v>
      </c>
      <c r="X11" s="1"/>
      <c r="Y11" s="1"/>
      <c r="Z11" s="1">
        <f>AA11/0.5</f>
        <v>50</v>
      </c>
      <c r="AA11" s="1">
        <v>25</v>
      </c>
    </row>
    <row r="12" spans="1:27" x14ac:dyDescent="0.3">
      <c r="A12" t="s">
        <v>2</v>
      </c>
      <c r="B12" t="s">
        <v>424</v>
      </c>
      <c r="C12" t="s">
        <v>425</v>
      </c>
      <c r="D12" t="s">
        <v>80</v>
      </c>
      <c r="E12" t="s">
        <v>427</v>
      </c>
      <c r="F12" t="s">
        <v>427</v>
      </c>
      <c r="G12" t="s">
        <v>427</v>
      </c>
      <c r="I12" t="s">
        <v>80</v>
      </c>
      <c r="L12" s="5" t="s">
        <v>80</v>
      </c>
      <c r="M12" s="1" t="s">
        <v>1</v>
      </c>
      <c r="N12" s="1"/>
      <c r="O12" s="1"/>
      <c r="P12" s="1"/>
      <c r="Q12" s="1"/>
      <c r="R12" s="2">
        <v>3.0685211939050501E-2</v>
      </c>
      <c r="S12" s="2"/>
      <c r="T12" s="1"/>
      <c r="U12" s="1"/>
      <c r="V12" s="1"/>
      <c r="W12" s="1"/>
      <c r="X12" s="1"/>
      <c r="Y12" s="1">
        <v>1</v>
      </c>
      <c r="Z12" s="1"/>
      <c r="AA12" s="1"/>
    </row>
    <row r="13" spans="1:27" x14ac:dyDescent="0.3">
      <c r="A13" t="s">
        <v>2</v>
      </c>
      <c r="B13" t="s">
        <v>424</v>
      </c>
      <c r="C13" t="s">
        <v>425</v>
      </c>
      <c r="D13" t="s">
        <v>81</v>
      </c>
      <c r="E13" t="s">
        <v>426</v>
      </c>
      <c r="F13" t="s">
        <v>427</v>
      </c>
      <c r="G13" t="s">
        <v>427</v>
      </c>
      <c r="I13" t="s">
        <v>81</v>
      </c>
      <c r="L13" s="5" t="s">
        <v>81</v>
      </c>
      <c r="M13" s="1" t="s">
        <v>1</v>
      </c>
      <c r="N13" s="1"/>
      <c r="O13" s="2">
        <v>7.29470164386756</v>
      </c>
      <c r="P13" s="1"/>
      <c r="Q13" s="1"/>
      <c r="R13" s="2">
        <v>0.11343901358783599</v>
      </c>
      <c r="S13" s="2"/>
      <c r="T13" s="1"/>
      <c r="U13" s="1"/>
      <c r="V13" s="1">
        <v>28</v>
      </c>
      <c r="W13" s="1"/>
      <c r="X13" s="1"/>
      <c r="Y13" s="1">
        <v>1</v>
      </c>
      <c r="Z13" s="1"/>
      <c r="AA13" s="1"/>
    </row>
    <row r="14" spans="1:27" x14ac:dyDescent="0.3">
      <c r="A14" t="s">
        <v>2</v>
      </c>
      <c r="B14" t="s">
        <v>424</v>
      </c>
      <c r="C14" t="s">
        <v>425</v>
      </c>
      <c r="D14" t="s">
        <v>82</v>
      </c>
      <c r="E14" t="s">
        <v>426</v>
      </c>
      <c r="F14" t="s">
        <v>427</v>
      </c>
      <c r="G14" t="s">
        <v>427</v>
      </c>
      <c r="I14" t="s">
        <v>82</v>
      </c>
      <c r="L14" s="5" t="s">
        <v>82</v>
      </c>
      <c r="M14" s="1" t="s">
        <v>1</v>
      </c>
      <c r="N14" s="1"/>
      <c r="O14" s="2">
        <v>0.79694795296697296</v>
      </c>
      <c r="P14" s="1"/>
      <c r="Q14" s="2">
        <v>0.63441636994142803</v>
      </c>
      <c r="R14" s="2">
        <v>0.204684011855569</v>
      </c>
      <c r="S14" s="2"/>
      <c r="T14" s="1"/>
      <c r="U14" s="1"/>
      <c r="V14" s="1">
        <v>12</v>
      </c>
      <c r="W14" s="1"/>
      <c r="X14" s="1">
        <v>6</v>
      </c>
      <c r="Y14" s="1">
        <v>5</v>
      </c>
      <c r="Z14" s="1"/>
      <c r="AA14" s="1"/>
    </row>
    <row r="15" spans="1:27" x14ac:dyDescent="0.3">
      <c r="A15" t="s">
        <v>2</v>
      </c>
      <c r="B15" t="s">
        <v>424</v>
      </c>
      <c r="C15" t="s">
        <v>425</v>
      </c>
      <c r="D15" t="s">
        <v>82</v>
      </c>
      <c r="E15" t="s">
        <v>426</v>
      </c>
      <c r="F15" t="s">
        <v>427</v>
      </c>
      <c r="G15" t="s">
        <v>427</v>
      </c>
      <c r="H15" t="s">
        <v>432</v>
      </c>
      <c r="I15" t="s">
        <v>83</v>
      </c>
      <c r="L15" s="5" t="s">
        <v>83</v>
      </c>
      <c r="M15" s="1" t="s">
        <v>1</v>
      </c>
      <c r="N15" s="2">
        <v>3.5787653359990901E-2</v>
      </c>
      <c r="O15" s="1"/>
      <c r="P15" s="1"/>
      <c r="Q15" s="1"/>
      <c r="R15" s="1"/>
      <c r="S15" s="1"/>
      <c r="T15" s="1"/>
      <c r="U15" s="1">
        <v>4</v>
      </c>
      <c r="V15" s="1"/>
      <c r="W15" s="1"/>
      <c r="X15" s="1"/>
      <c r="Y15" s="1"/>
      <c r="Z15" s="1"/>
      <c r="AA15" s="1"/>
    </row>
    <row r="16" spans="1:27" x14ac:dyDescent="0.3">
      <c r="A16" t="s">
        <v>2</v>
      </c>
      <c r="B16" t="s">
        <v>424</v>
      </c>
      <c r="C16" t="s">
        <v>425</v>
      </c>
      <c r="D16" t="s">
        <v>82</v>
      </c>
      <c r="E16" t="s">
        <v>426</v>
      </c>
      <c r="F16" t="s">
        <v>427</v>
      </c>
      <c r="G16" t="s">
        <v>427</v>
      </c>
      <c r="H16" t="s">
        <v>432</v>
      </c>
      <c r="I16" t="s">
        <v>84</v>
      </c>
      <c r="L16" s="5" t="s">
        <v>84</v>
      </c>
      <c r="M16" s="1" t="s">
        <v>1</v>
      </c>
      <c r="N16" s="2">
        <v>0.34446117776496399</v>
      </c>
      <c r="O16" s="1"/>
      <c r="P16" s="1"/>
      <c r="Q16" s="1"/>
      <c r="R16" s="1"/>
      <c r="S16" s="1"/>
      <c r="T16" s="1"/>
      <c r="U16" s="1">
        <v>24</v>
      </c>
      <c r="V16" s="1"/>
      <c r="W16" s="1"/>
      <c r="X16" s="1"/>
      <c r="Y16" s="1"/>
      <c r="Z16" s="1"/>
      <c r="AA16" s="1"/>
    </row>
    <row r="17" spans="1:27" x14ac:dyDescent="0.3">
      <c r="A17" t="s">
        <v>2</v>
      </c>
      <c r="B17" t="s">
        <v>424</v>
      </c>
      <c r="C17" t="s">
        <v>425</v>
      </c>
      <c r="D17" t="s">
        <v>85</v>
      </c>
      <c r="E17" t="s">
        <v>427</v>
      </c>
      <c r="F17" t="s">
        <v>427</v>
      </c>
      <c r="G17" t="s">
        <v>427</v>
      </c>
      <c r="I17" t="s">
        <v>85</v>
      </c>
      <c r="L17" s="5" t="s">
        <v>85</v>
      </c>
      <c r="M17" s="1" t="s">
        <v>1</v>
      </c>
      <c r="N17" s="1"/>
      <c r="O17" s="2">
        <v>0.76123770316945005</v>
      </c>
      <c r="P17" s="1"/>
      <c r="Q17" s="1"/>
      <c r="R17" s="1"/>
      <c r="S17" s="1"/>
      <c r="T17" s="1"/>
      <c r="U17" s="1"/>
      <c r="V17" s="1">
        <v>1</v>
      </c>
      <c r="W17" s="1"/>
      <c r="X17" s="1"/>
      <c r="Y17" s="1"/>
      <c r="Z17" s="1"/>
      <c r="AA17" s="1"/>
    </row>
    <row r="18" spans="1:27" x14ac:dyDescent="0.3">
      <c r="A18" t="s">
        <v>2</v>
      </c>
      <c r="B18" t="s">
        <v>424</v>
      </c>
      <c r="C18" t="s">
        <v>425</v>
      </c>
      <c r="D18" t="s">
        <v>80</v>
      </c>
      <c r="E18" t="s">
        <v>427</v>
      </c>
      <c r="F18" t="s">
        <v>427</v>
      </c>
      <c r="G18" t="s">
        <v>427</v>
      </c>
      <c r="H18" t="s">
        <v>429</v>
      </c>
      <c r="I18" t="s">
        <v>86</v>
      </c>
      <c r="L18" s="5" t="s">
        <v>86</v>
      </c>
      <c r="M18" s="1" t="s">
        <v>1</v>
      </c>
      <c r="N18" s="2">
        <v>0.499607890432746</v>
      </c>
      <c r="O18" s="1"/>
      <c r="P18" s="1"/>
      <c r="Q18" s="1"/>
      <c r="R18" s="1"/>
      <c r="S18" s="1"/>
      <c r="T18" s="1"/>
      <c r="U18" s="1">
        <v>8</v>
      </c>
      <c r="V18" s="1"/>
      <c r="W18" s="1"/>
      <c r="X18" s="1"/>
      <c r="Y18" s="1"/>
      <c r="Z18" s="1"/>
      <c r="AA18" s="1"/>
    </row>
    <row r="19" spans="1:27" x14ac:dyDescent="0.3">
      <c r="A19" t="s">
        <v>2</v>
      </c>
      <c r="B19" t="s">
        <v>424</v>
      </c>
      <c r="C19" t="s">
        <v>425</v>
      </c>
      <c r="D19" t="s">
        <v>87</v>
      </c>
      <c r="E19" t="s">
        <v>433</v>
      </c>
      <c r="F19" t="s">
        <v>427</v>
      </c>
      <c r="G19" t="s">
        <v>434</v>
      </c>
      <c r="I19" t="s">
        <v>87</v>
      </c>
      <c r="L19" s="5" t="s">
        <v>87</v>
      </c>
      <c r="M19" s="1" t="s">
        <v>1</v>
      </c>
      <c r="N19" s="1"/>
      <c r="O19" s="2">
        <v>4.7375778468071998E-2</v>
      </c>
      <c r="P19" s="1"/>
      <c r="Q19" s="1"/>
      <c r="R19" s="1"/>
      <c r="S19" s="1"/>
      <c r="T19" s="1"/>
      <c r="U19" s="1"/>
      <c r="V19" s="1">
        <v>1</v>
      </c>
      <c r="W19" s="1"/>
      <c r="X19" s="1"/>
      <c r="Y19" s="1"/>
      <c r="Z19" s="1"/>
      <c r="AA19" s="1"/>
    </row>
    <row r="20" spans="1:27" x14ac:dyDescent="0.3">
      <c r="A20" t="s">
        <v>2</v>
      </c>
      <c r="B20" t="s">
        <v>424</v>
      </c>
      <c r="C20" t="s">
        <v>425</v>
      </c>
      <c r="D20" t="s">
        <v>88</v>
      </c>
      <c r="E20" t="s">
        <v>427</v>
      </c>
      <c r="F20" t="s">
        <v>427</v>
      </c>
      <c r="G20" t="s">
        <v>427</v>
      </c>
      <c r="I20" t="s">
        <v>88</v>
      </c>
      <c r="L20" s="5" t="s">
        <v>88</v>
      </c>
      <c r="M20" s="1" t="s">
        <v>1</v>
      </c>
      <c r="N20" s="2">
        <v>2.2559677654935498E-2</v>
      </c>
      <c r="O20" s="1"/>
      <c r="P20" s="1"/>
      <c r="Q20" s="1"/>
      <c r="R20" s="1"/>
      <c r="S20" s="1"/>
      <c r="T20" s="1"/>
      <c r="U20" s="1">
        <v>1</v>
      </c>
      <c r="V20" s="1"/>
      <c r="W20" s="1"/>
      <c r="X20" s="1"/>
      <c r="Y20" s="1"/>
      <c r="Z20" s="1"/>
      <c r="AA20" s="1"/>
    </row>
    <row r="21" spans="1:27" x14ac:dyDescent="0.3">
      <c r="K21" s="1" t="s">
        <v>3</v>
      </c>
      <c r="L21" s="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3">
      <c r="A22" t="s">
        <v>3</v>
      </c>
      <c r="B22" t="s">
        <v>424</v>
      </c>
      <c r="C22" t="s">
        <v>425</v>
      </c>
      <c r="D22" t="s">
        <v>89</v>
      </c>
      <c r="E22" t="s">
        <v>427</v>
      </c>
      <c r="F22" t="s">
        <v>427</v>
      </c>
      <c r="G22" t="s">
        <v>427</v>
      </c>
      <c r="I22" t="s">
        <v>89</v>
      </c>
      <c r="L22" s="5" t="s">
        <v>89</v>
      </c>
      <c r="M22" s="1" t="s">
        <v>1</v>
      </c>
      <c r="N22" s="1"/>
      <c r="O22" s="1"/>
      <c r="P22" s="1"/>
      <c r="Q22" s="1"/>
      <c r="R22" s="2">
        <v>9.0264173417939894E-2</v>
      </c>
      <c r="S22" s="2"/>
      <c r="T22" s="1"/>
      <c r="U22" s="1"/>
      <c r="V22" s="1"/>
      <c r="W22" s="1"/>
      <c r="X22" s="1"/>
      <c r="Y22" s="1">
        <v>2</v>
      </c>
      <c r="Z22" s="1"/>
      <c r="AA22" s="1"/>
    </row>
    <row r="23" spans="1:27" x14ac:dyDescent="0.3">
      <c r="A23" t="s">
        <v>3</v>
      </c>
      <c r="B23" t="s">
        <v>424</v>
      </c>
      <c r="C23" t="s">
        <v>425</v>
      </c>
      <c r="D23" t="s">
        <v>435</v>
      </c>
      <c r="E23" t="s">
        <v>433</v>
      </c>
      <c r="F23" t="s">
        <v>427</v>
      </c>
      <c r="G23" t="s">
        <v>427</v>
      </c>
      <c r="H23" t="s">
        <v>436</v>
      </c>
      <c r="I23" t="s">
        <v>90</v>
      </c>
      <c r="L23" s="5" t="s">
        <v>90</v>
      </c>
      <c r="M23" s="1" t="s">
        <v>1</v>
      </c>
      <c r="N23" s="1"/>
      <c r="O23" s="2">
        <v>6.1811263488440602</v>
      </c>
      <c r="P23" s="1"/>
      <c r="Q23" s="1"/>
      <c r="R23" s="1"/>
      <c r="S23" s="1"/>
      <c r="T23" s="1"/>
      <c r="U23" s="1"/>
      <c r="V23" s="1">
        <v>19</v>
      </c>
      <c r="W23" s="1"/>
      <c r="X23" s="1"/>
      <c r="Y23" s="1"/>
      <c r="Z23" s="1"/>
      <c r="AA23" s="1"/>
    </row>
    <row r="24" spans="1:27" x14ac:dyDescent="0.3">
      <c r="A24" t="s">
        <v>3</v>
      </c>
      <c r="B24" t="s">
        <v>424</v>
      </c>
      <c r="C24" t="s">
        <v>425</v>
      </c>
      <c r="D24" t="s">
        <v>91</v>
      </c>
      <c r="E24" t="s">
        <v>427</v>
      </c>
      <c r="F24" t="s">
        <v>427</v>
      </c>
      <c r="G24" t="s">
        <v>427</v>
      </c>
      <c r="I24" t="s">
        <v>91</v>
      </c>
      <c r="L24" s="5" t="s">
        <v>91</v>
      </c>
      <c r="M24" s="1" t="s">
        <v>1</v>
      </c>
      <c r="N24" s="2">
        <v>1.79642738833403</v>
      </c>
      <c r="O24" s="2">
        <v>4.2801214739136997</v>
      </c>
      <c r="P24" s="1"/>
      <c r="Q24" s="1"/>
      <c r="R24" s="1"/>
      <c r="S24" s="1"/>
      <c r="T24" s="1"/>
      <c r="U24" s="1">
        <v>25</v>
      </c>
      <c r="V24" s="1">
        <v>7</v>
      </c>
      <c r="W24" s="1"/>
      <c r="X24" s="1"/>
      <c r="Y24" s="1"/>
      <c r="Z24" s="1"/>
      <c r="AA24" s="1"/>
    </row>
    <row r="25" spans="1:27" x14ac:dyDescent="0.3">
      <c r="A25" t="s">
        <v>3</v>
      </c>
      <c r="B25" t="s">
        <v>424</v>
      </c>
      <c r="C25" t="s">
        <v>425</v>
      </c>
      <c r="D25" t="s">
        <v>92</v>
      </c>
      <c r="E25" t="s">
        <v>427</v>
      </c>
      <c r="F25" t="s">
        <v>427</v>
      </c>
      <c r="G25" t="s">
        <v>427</v>
      </c>
      <c r="I25" t="s">
        <v>92</v>
      </c>
      <c r="L25" s="5" t="s">
        <v>92</v>
      </c>
      <c r="M25" s="1" t="s">
        <v>1</v>
      </c>
      <c r="N25" s="1"/>
      <c r="O25" s="2">
        <v>4.24878454730599E-2</v>
      </c>
      <c r="P25" s="1"/>
      <c r="Q25" s="1"/>
      <c r="R25" s="1"/>
      <c r="S25" s="1"/>
      <c r="T25" s="1"/>
      <c r="U25" s="1"/>
      <c r="V25" s="1">
        <v>1</v>
      </c>
      <c r="W25" s="1"/>
      <c r="X25" s="1"/>
      <c r="Y25" s="1"/>
      <c r="Z25" s="1"/>
      <c r="AA25" s="1"/>
    </row>
    <row r="26" spans="1:27" x14ac:dyDescent="0.3">
      <c r="K26" s="1" t="s">
        <v>4</v>
      </c>
      <c r="L26" s="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3">
      <c r="A27" t="s">
        <v>427</v>
      </c>
      <c r="B27" t="s">
        <v>427</v>
      </c>
      <c r="C27" t="s">
        <v>427</v>
      </c>
      <c r="D27" t="s">
        <v>427</v>
      </c>
      <c r="E27" t="s">
        <v>427</v>
      </c>
      <c r="F27" t="s">
        <v>427</v>
      </c>
      <c r="G27" t="s">
        <v>427</v>
      </c>
      <c r="H27" t="s">
        <v>437</v>
      </c>
      <c r="I27" t="s">
        <v>93</v>
      </c>
      <c r="L27" s="5" t="s">
        <v>93</v>
      </c>
      <c r="M27" s="1" t="s">
        <v>5</v>
      </c>
      <c r="N27" s="1"/>
      <c r="O27" s="1"/>
      <c r="P27" s="2">
        <v>3.5980506870650499E-2</v>
      </c>
      <c r="Q27" s="1"/>
      <c r="R27" s="1"/>
      <c r="S27" s="1"/>
      <c r="T27" s="1"/>
      <c r="U27" s="1"/>
      <c r="V27" s="1"/>
      <c r="W27" s="1">
        <v>1</v>
      </c>
      <c r="X27" s="1"/>
      <c r="Y27" s="1"/>
      <c r="Z27" s="1"/>
      <c r="AA27" s="1"/>
    </row>
    <row r="28" spans="1:27" x14ac:dyDescent="0.3">
      <c r="A28" t="s">
        <v>427</v>
      </c>
      <c r="B28" t="s">
        <v>427</v>
      </c>
      <c r="C28" t="s">
        <v>427</v>
      </c>
      <c r="D28" t="s">
        <v>427</v>
      </c>
      <c r="E28" t="s">
        <v>427</v>
      </c>
      <c r="F28" t="s">
        <v>427</v>
      </c>
      <c r="G28" t="s">
        <v>427</v>
      </c>
      <c r="H28" t="s">
        <v>437</v>
      </c>
      <c r="I28" t="s">
        <v>94</v>
      </c>
      <c r="L28" s="5" t="s">
        <v>94</v>
      </c>
      <c r="M28" s="1" t="s">
        <v>5</v>
      </c>
      <c r="N28" s="1"/>
      <c r="O28" s="1"/>
      <c r="P28" s="2">
        <v>6.8554290841408502E-3</v>
      </c>
      <c r="Q28" s="1"/>
      <c r="R28" s="1"/>
      <c r="S28" s="1"/>
      <c r="T28" s="1"/>
      <c r="U28" s="1"/>
      <c r="V28" s="1"/>
      <c r="W28" s="1">
        <v>1</v>
      </c>
      <c r="X28" s="1"/>
      <c r="Y28" s="1"/>
      <c r="Z28" s="1"/>
      <c r="AA28" s="1"/>
    </row>
    <row r="29" spans="1:27" x14ac:dyDescent="0.3">
      <c r="A29" t="s">
        <v>4</v>
      </c>
      <c r="B29" t="s">
        <v>424</v>
      </c>
      <c r="C29" t="s">
        <v>425</v>
      </c>
      <c r="D29" t="s">
        <v>97</v>
      </c>
      <c r="E29" t="s">
        <v>427</v>
      </c>
      <c r="F29" t="s">
        <v>427</v>
      </c>
      <c r="G29" t="s">
        <v>427</v>
      </c>
      <c r="H29" t="s">
        <v>432</v>
      </c>
      <c r="I29" t="s">
        <v>95</v>
      </c>
      <c r="L29" s="5" t="s">
        <v>95</v>
      </c>
      <c r="M29" s="1" t="s">
        <v>5</v>
      </c>
      <c r="N29" s="2">
        <v>0.15089605755129001</v>
      </c>
      <c r="O29" s="1"/>
      <c r="P29" s="1"/>
      <c r="Q29" s="1"/>
      <c r="R29" s="1"/>
      <c r="S29" s="1"/>
      <c r="T29" s="1"/>
      <c r="U29" s="1">
        <v>1</v>
      </c>
      <c r="V29" s="1"/>
      <c r="W29" s="1"/>
      <c r="X29" s="1"/>
      <c r="Y29" s="1"/>
      <c r="Z29" s="1"/>
      <c r="AA29" s="1"/>
    </row>
    <row r="30" spans="1:27" x14ac:dyDescent="0.3">
      <c r="A30" t="s">
        <v>4</v>
      </c>
      <c r="B30" t="s">
        <v>424</v>
      </c>
      <c r="C30" t="s">
        <v>425</v>
      </c>
      <c r="D30" t="s">
        <v>96</v>
      </c>
      <c r="E30" t="s">
        <v>426</v>
      </c>
      <c r="F30" t="s">
        <v>427</v>
      </c>
      <c r="G30" t="s">
        <v>427</v>
      </c>
      <c r="I30" t="s">
        <v>96</v>
      </c>
      <c r="L30" s="5" t="s">
        <v>96</v>
      </c>
      <c r="M30" s="1" t="s">
        <v>5</v>
      </c>
      <c r="N30" s="1"/>
      <c r="O30" s="1"/>
      <c r="P30" s="1"/>
      <c r="Q30" s="1"/>
      <c r="R30" s="1"/>
      <c r="S30" s="2">
        <f>T30/0.5</f>
        <v>0.87379065795934396</v>
      </c>
      <c r="T30" s="2">
        <v>0.43689532897967198</v>
      </c>
      <c r="U30" s="1"/>
      <c r="V30" s="1"/>
      <c r="W30" s="1"/>
      <c r="X30" s="1"/>
      <c r="Y30" s="1"/>
      <c r="Z30" s="1">
        <f>AA30/0.5</f>
        <v>32</v>
      </c>
      <c r="AA30" s="1">
        <v>16</v>
      </c>
    </row>
    <row r="31" spans="1:27" x14ac:dyDescent="0.3">
      <c r="A31" t="s">
        <v>4</v>
      </c>
      <c r="B31" t="s">
        <v>424</v>
      </c>
      <c r="C31" t="s">
        <v>425</v>
      </c>
      <c r="D31" t="s">
        <v>97</v>
      </c>
      <c r="E31" t="s">
        <v>427</v>
      </c>
      <c r="F31" t="s">
        <v>427</v>
      </c>
      <c r="G31" t="s">
        <v>427</v>
      </c>
      <c r="I31" t="s">
        <v>97</v>
      </c>
      <c r="L31" s="5" t="s">
        <v>97</v>
      </c>
      <c r="M31" s="1" t="s">
        <v>5</v>
      </c>
      <c r="N31" s="1"/>
      <c r="O31" s="1"/>
      <c r="P31" s="1"/>
      <c r="Q31" s="2">
        <v>2.68450502245157E-2</v>
      </c>
      <c r="R31" s="2">
        <v>2.05987188008349E-2</v>
      </c>
      <c r="S31" s="2"/>
      <c r="T31" s="1"/>
      <c r="U31" s="1"/>
      <c r="V31" s="1"/>
      <c r="W31" s="1"/>
      <c r="X31" s="1">
        <v>2</v>
      </c>
      <c r="Y31" s="1">
        <v>2</v>
      </c>
      <c r="Z31" s="1"/>
      <c r="AA31" s="1"/>
    </row>
    <row r="32" spans="1:27" x14ac:dyDescent="0.3">
      <c r="A32" t="s">
        <v>4</v>
      </c>
      <c r="B32" t="s">
        <v>424</v>
      </c>
      <c r="C32" t="s">
        <v>425</v>
      </c>
      <c r="D32" t="s">
        <v>98</v>
      </c>
      <c r="E32" t="s">
        <v>427</v>
      </c>
      <c r="F32" t="s">
        <v>427</v>
      </c>
      <c r="G32" t="s">
        <v>427</v>
      </c>
      <c r="I32" t="s">
        <v>98</v>
      </c>
      <c r="L32" s="5" t="s">
        <v>98</v>
      </c>
      <c r="M32" s="1" t="s">
        <v>5</v>
      </c>
      <c r="N32" s="1"/>
      <c r="O32" s="1"/>
      <c r="P32" s="2">
        <v>2.0057911663638199</v>
      </c>
      <c r="Q32" s="2">
        <v>1.42184795948972</v>
      </c>
      <c r="R32" s="1"/>
      <c r="S32" s="1"/>
      <c r="T32" s="1"/>
      <c r="U32" s="1"/>
      <c r="V32" s="1"/>
      <c r="W32" s="1">
        <v>29</v>
      </c>
      <c r="X32" s="1">
        <v>15</v>
      </c>
      <c r="Y32" s="1"/>
      <c r="Z32" s="1"/>
      <c r="AA32" s="1"/>
    </row>
    <row r="33" spans="1:27" x14ac:dyDescent="0.3">
      <c r="A33" t="s">
        <v>4</v>
      </c>
      <c r="B33" t="s">
        <v>424</v>
      </c>
      <c r="C33" t="s">
        <v>425</v>
      </c>
      <c r="D33" t="s">
        <v>99</v>
      </c>
      <c r="E33" t="s">
        <v>426</v>
      </c>
      <c r="F33" t="s">
        <v>427</v>
      </c>
      <c r="G33" t="s">
        <v>427</v>
      </c>
      <c r="I33" t="s">
        <v>99</v>
      </c>
      <c r="L33" s="5" t="s">
        <v>99</v>
      </c>
      <c r="M33" s="1" t="s">
        <v>5</v>
      </c>
      <c r="N33" s="1"/>
      <c r="O33" s="2">
        <v>0.14753248704670999</v>
      </c>
      <c r="P33" s="1"/>
      <c r="Q33" s="2">
        <v>7.8005380701244006E-2</v>
      </c>
      <c r="R33" s="2">
        <v>1.7523979619285699</v>
      </c>
      <c r="S33" s="2"/>
      <c r="T33" s="1"/>
      <c r="U33" s="1"/>
      <c r="V33" s="1">
        <v>5</v>
      </c>
      <c r="W33" s="1"/>
      <c r="X33" s="1">
        <v>6</v>
      </c>
      <c r="Y33" s="1">
        <v>40</v>
      </c>
      <c r="Z33" s="1"/>
      <c r="AA33" s="1"/>
    </row>
    <row r="34" spans="1:27" x14ac:dyDescent="0.3">
      <c r="A34" t="s">
        <v>4</v>
      </c>
      <c r="B34" t="s">
        <v>424</v>
      </c>
      <c r="C34" t="s">
        <v>425</v>
      </c>
      <c r="D34" t="s">
        <v>100</v>
      </c>
      <c r="E34" t="s">
        <v>427</v>
      </c>
      <c r="F34" t="s">
        <v>427</v>
      </c>
      <c r="G34" t="s">
        <v>427</v>
      </c>
      <c r="I34" t="s">
        <v>100</v>
      </c>
      <c r="L34" s="5" t="s">
        <v>100</v>
      </c>
      <c r="M34" s="1" t="s">
        <v>5</v>
      </c>
      <c r="N34" s="1"/>
      <c r="O34" s="1"/>
      <c r="P34" s="2">
        <v>0.58464424881213395</v>
      </c>
      <c r="Q34" s="1"/>
      <c r="R34" s="1"/>
      <c r="S34" s="1"/>
      <c r="T34" s="1"/>
      <c r="U34" s="1"/>
      <c r="V34" s="1"/>
      <c r="W34" s="1">
        <v>10</v>
      </c>
      <c r="X34" s="1"/>
      <c r="Y34" s="1"/>
      <c r="Z34" s="1"/>
      <c r="AA34" s="1"/>
    </row>
    <row r="35" spans="1:27" x14ac:dyDescent="0.3">
      <c r="A35" t="s">
        <v>4</v>
      </c>
      <c r="B35" t="s">
        <v>424</v>
      </c>
      <c r="C35" t="s">
        <v>425</v>
      </c>
      <c r="D35" t="s">
        <v>101</v>
      </c>
      <c r="E35" t="s">
        <v>427</v>
      </c>
      <c r="F35" t="s">
        <v>427</v>
      </c>
      <c r="G35" t="s">
        <v>427</v>
      </c>
      <c r="I35" t="s">
        <v>101</v>
      </c>
      <c r="L35" s="5" t="s">
        <v>101</v>
      </c>
      <c r="M35" s="1" t="s">
        <v>5</v>
      </c>
      <c r="N35" s="2">
        <v>1.49549987790773</v>
      </c>
      <c r="O35" s="1"/>
      <c r="P35" s="2">
        <v>0.81346579670089603</v>
      </c>
      <c r="Q35" s="2">
        <v>0.32498885535163202</v>
      </c>
      <c r="R35" s="2">
        <v>3.8034575369660901</v>
      </c>
      <c r="S35" s="2"/>
      <c r="T35" s="1"/>
      <c r="U35" s="1">
        <v>3</v>
      </c>
      <c r="V35" s="1"/>
      <c r="W35" s="1">
        <v>11</v>
      </c>
      <c r="X35" s="1">
        <v>8</v>
      </c>
      <c r="Y35" s="1">
        <v>77</v>
      </c>
      <c r="Z35" s="1"/>
      <c r="AA35" s="1"/>
    </row>
    <row r="36" spans="1:27" x14ac:dyDescent="0.3">
      <c r="A36" t="s">
        <v>4</v>
      </c>
      <c r="B36" t="s">
        <v>424</v>
      </c>
      <c r="C36" t="s">
        <v>425</v>
      </c>
      <c r="D36" t="s">
        <v>102</v>
      </c>
      <c r="E36" t="s">
        <v>427</v>
      </c>
      <c r="F36" t="s">
        <v>427</v>
      </c>
      <c r="G36" t="s">
        <v>427</v>
      </c>
      <c r="I36" t="s">
        <v>102</v>
      </c>
      <c r="L36" s="5" t="s">
        <v>102</v>
      </c>
      <c r="M36" s="1" t="s">
        <v>5</v>
      </c>
      <c r="N36" s="2">
        <v>0.10786985278592499</v>
      </c>
      <c r="O36" s="1"/>
      <c r="P36" s="2">
        <v>0.26456787014329403</v>
      </c>
      <c r="Q36" s="2">
        <v>2.85906411900528E-2</v>
      </c>
      <c r="R36" s="2">
        <v>0.46402152312825301</v>
      </c>
      <c r="S36" s="2"/>
      <c r="T36" s="1"/>
      <c r="U36" s="1">
        <v>7</v>
      </c>
      <c r="V36" s="1"/>
      <c r="W36" s="1">
        <v>6</v>
      </c>
      <c r="X36" s="1">
        <v>3</v>
      </c>
      <c r="Y36" s="1">
        <v>12</v>
      </c>
      <c r="Z36" s="1"/>
      <c r="AA36" s="1"/>
    </row>
    <row r="37" spans="1:27" x14ac:dyDescent="0.3">
      <c r="K37" s="1" t="s">
        <v>6</v>
      </c>
      <c r="L37" s="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3">
      <c r="A38" t="s">
        <v>6</v>
      </c>
      <c r="B38" t="s">
        <v>424</v>
      </c>
      <c r="C38" t="s">
        <v>425</v>
      </c>
      <c r="D38" t="s">
        <v>103</v>
      </c>
      <c r="E38" t="s">
        <v>426</v>
      </c>
      <c r="F38" t="s">
        <v>427</v>
      </c>
      <c r="G38" t="s">
        <v>427</v>
      </c>
      <c r="I38" t="s">
        <v>103</v>
      </c>
      <c r="L38" s="5" t="s">
        <v>103</v>
      </c>
      <c r="M38" s="1" t="s">
        <v>1</v>
      </c>
      <c r="N38" s="1"/>
      <c r="O38" s="2">
        <v>2.0725252723526499</v>
      </c>
      <c r="P38" s="1"/>
      <c r="Q38" s="1"/>
      <c r="R38" s="1"/>
      <c r="S38" s="1"/>
      <c r="T38" s="1"/>
      <c r="U38" s="1"/>
      <c r="V38" s="1">
        <v>22</v>
      </c>
      <c r="W38" s="1"/>
      <c r="X38" s="1"/>
      <c r="Y38" s="1"/>
      <c r="Z38" s="1"/>
      <c r="AA38" s="1"/>
    </row>
    <row r="39" spans="1:27" x14ac:dyDescent="0.3">
      <c r="A39" t="s">
        <v>6</v>
      </c>
      <c r="B39" t="s">
        <v>424</v>
      </c>
      <c r="C39" t="s">
        <v>425</v>
      </c>
      <c r="D39" t="s">
        <v>438</v>
      </c>
      <c r="E39" t="s">
        <v>427</v>
      </c>
      <c r="F39" t="s">
        <v>427</v>
      </c>
      <c r="G39" t="s">
        <v>427</v>
      </c>
      <c r="H39" t="s">
        <v>432</v>
      </c>
      <c r="I39" t="s">
        <v>104</v>
      </c>
      <c r="L39" s="5" t="s">
        <v>104</v>
      </c>
      <c r="M39" s="1" t="s">
        <v>1</v>
      </c>
      <c r="N39" s="1"/>
      <c r="O39" s="2">
        <v>8.7595509781765293E-2</v>
      </c>
      <c r="P39" s="1"/>
      <c r="Q39" s="1"/>
      <c r="R39" s="1"/>
      <c r="S39" s="1"/>
      <c r="T39" s="1"/>
      <c r="U39" s="1"/>
      <c r="V39" s="1">
        <v>1</v>
      </c>
      <c r="W39" s="1"/>
      <c r="X39" s="1"/>
      <c r="Y39" s="1"/>
      <c r="Z39" s="1"/>
      <c r="AA39" s="1"/>
    </row>
    <row r="40" spans="1:27" x14ac:dyDescent="0.3">
      <c r="A40" t="s">
        <v>6</v>
      </c>
      <c r="B40" t="s">
        <v>424</v>
      </c>
      <c r="C40" t="s">
        <v>425</v>
      </c>
      <c r="D40" t="s">
        <v>439</v>
      </c>
      <c r="E40" t="s">
        <v>426</v>
      </c>
      <c r="F40" t="s">
        <v>427</v>
      </c>
      <c r="G40" t="s">
        <v>427</v>
      </c>
      <c r="H40" t="s">
        <v>432</v>
      </c>
      <c r="I40" t="s">
        <v>105</v>
      </c>
      <c r="L40" s="5" t="s">
        <v>105</v>
      </c>
      <c r="M40" s="1" t="s">
        <v>1</v>
      </c>
      <c r="N40" s="1"/>
      <c r="O40" s="2">
        <v>0.33304263830574798</v>
      </c>
      <c r="P40" s="1"/>
      <c r="Q40" s="1"/>
      <c r="R40" s="2">
        <v>4.4595210090034296</v>
      </c>
      <c r="S40" s="2"/>
      <c r="T40" s="1"/>
      <c r="U40" s="1"/>
      <c r="V40" s="1">
        <v>5</v>
      </c>
      <c r="W40" s="1"/>
      <c r="X40" s="1"/>
      <c r="Y40" s="1">
        <v>41</v>
      </c>
      <c r="Z40" s="1"/>
      <c r="AA40" s="1"/>
    </row>
    <row r="41" spans="1:27" x14ac:dyDescent="0.3">
      <c r="K41" s="1" t="s">
        <v>7</v>
      </c>
      <c r="L41" s="5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3">
      <c r="A42" t="s">
        <v>7</v>
      </c>
      <c r="B42" t="s">
        <v>424</v>
      </c>
      <c r="C42" t="s">
        <v>425</v>
      </c>
      <c r="D42" t="s">
        <v>106</v>
      </c>
      <c r="E42" t="s">
        <v>440</v>
      </c>
      <c r="F42" t="s">
        <v>440</v>
      </c>
      <c r="G42" t="s">
        <v>440</v>
      </c>
      <c r="I42" t="s">
        <v>106</v>
      </c>
      <c r="L42" s="5" t="s">
        <v>106</v>
      </c>
      <c r="M42" s="1" t="s">
        <v>5</v>
      </c>
      <c r="N42" s="2">
        <v>28.541079867008399</v>
      </c>
      <c r="O42" s="2">
        <v>12.765081343451699</v>
      </c>
      <c r="P42" s="2">
        <v>71.698256066535293</v>
      </c>
      <c r="Q42" s="2">
        <v>52.059503511410597</v>
      </c>
      <c r="R42" s="2">
        <v>22.2467024081011</v>
      </c>
      <c r="S42" s="2">
        <f>T42/0.5</f>
        <v>92.066185025312606</v>
      </c>
      <c r="T42" s="2">
        <v>46.033092512656303</v>
      </c>
      <c r="U42" s="1">
        <v>109</v>
      </c>
      <c r="V42" s="1">
        <v>9</v>
      </c>
      <c r="W42" s="1">
        <v>82</v>
      </c>
      <c r="X42" s="1">
        <v>57</v>
      </c>
      <c r="Y42" s="1">
        <v>37</v>
      </c>
      <c r="Z42" s="1">
        <f>AA42/0.5</f>
        <v>192</v>
      </c>
      <c r="AA42" s="1">
        <v>96</v>
      </c>
    </row>
    <row r="43" spans="1:27" x14ac:dyDescent="0.3">
      <c r="K43" s="1" t="s">
        <v>8</v>
      </c>
      <c r="L43" s="5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3">
      <c r="A44" t="s">
        <v>8</v>
      </c>
      <c r="B44" t="s">
        <v>424</v>
      </c>
      <c r="C44" t="s">
        <v>425</v>
      </c>
      <c r="D44" t="s">
        <v>107</v>
      </c>
      <c r="E44" t="s">
        <v>434</v>
      </c>
      <c r="F44" t="s">
        <v>434</v>
      </c>
      <c r="G44" t="s">
        <v>434</v>
      </c>
      <c r="I44" t="s">
        <v>107</v>
      </c>
      <c r="L44" s="5" t="s">
        <v>107</v>
      </c>
      <c r="M44" s="1" t="s">
        <v>1</v>
      </c>
      <c r="N44" s="1"/>
      <c r="O44" s="2">
        <v>1.3910362049603899</v>
      </c>
      <c r="P44" s="1"/>
      <c r="Q44" s="1"/>
      <c r="R44" s="1"/>
      <c r="S44" s="1"/>
      <c r="T44" s="1"/>
      <c r="U44" s="1"/>
      <c r="V44" s="1">
        <v>88</v>
      </c>
      <c r="W44" s="1"/>
      <c r="X44" s="1"/>
      <c r="Y44" s="1"/>
      <c r="Z44" s="1"/>
      <c r="AA44" s="1"/>
    </row>
    <row r="45" spans="1:27" x14ac:dyDescent="0.3">
      <c r="A45" t="s">
        <v>8</v>
      </c>
      <c r="B45" t="s">
        <v>424</v>
      </c>
      <c r="C45" t="s">
        <v>425</v>
      </c>
      <c r="D45" t="s">
        <v>108</v>
      </c>
      <c r="E45" t="s">
        <v>426</v>
      </c>
      <c r="F45" t="s">
        <v>427</v>
      </c>
      <c r="G45" t="s">
        <v>427</v>
      </c>
      <c r="I45" t="s">
        <v>108</v>
      </c>
      <c r="L45" s="5" t="s">
        <v>108</v>
      </c>
      <c r="M45" s="1" t="s">
        <v>1</v>
      </c>
      <c r="N45" s="2">
        <v>0.36885113101963501</v>
      </c>
      <c r="O45" s="2">
        <v>7.5554841557094097</v>
      </c>
      <c r="P45" s="1"/>
      <c r="Q45" s="1"/>
      <c r="R45" s="1"/>
      <c r="S45" s="1"/>
      <c r="T45" s="1"/>
      <c r="U45" s="1">
        <v>3</v>
      </c>
      <c r="V45" s="1">
        <v>54</v>
      </c>
      <c r="W45" s="1"/>
      <c r="X45" s="1"/>
      <c r="Y45" s="1"/>
      <c r="Z45" s="1"/>
      <c r="AA45" s="1"/>
    </row>
    <row r="46" spans="1:27" x14ac:dyDescent="0.3">
      <c r="K46" s="1" t="s">
        <v>9</v>
      </c>
      <c r="L46" s="5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3">
      <c r="A47" t="s">
        <v>9</v>
      </c>
      <c r="B47" t="s">
        <v>424</v>
      </c>
      <c r="C47" t="s">
        <v>425</v>
      </c>
      <c r="D47" t="s">
        <v>109</v>
      </c>
      <c r="E47" t="s">
        <v>427</v>
      </c>
      <c r="F47" t="s">
        <v>427</v>
      </c>
      <c r="G47" t="s">
        <v>427</v>
      </c>
      <c r="I47" t="s">
        <v>109</v>
      </c>
      <c r="L47" s="5" t="s">
        <v>109</v>
      </c>
      <c r="M47" s="1" t="s">
        <v>1</v>
      </c>
      <c r="N47" s="2">
        <v>0.93330958000492803</v>
      </c>
      <c r="O47" s="2">
        <v>3.4594087930113301E-2</v>
      </c>
      <c r="P47" s="1"/>
      <c r="Q47" s="1"/>
      <c r="R47" s="1"/>
      <c r="S47" s="1"/>
      <c r="T47" s="1"/>
      <c r="U47" s="1">
        <v>35</v>
      </c>
      <c r="V47" s="1">
        <v>1</v>
      </c>
      <c r="W47" s="1"/>
      <c r="X47" s="1"/>
      <c r="Y47" s="1"/>
      <c r="Z47" s="1"/>
      <c r="AA47" s="1"/>
    </row>
    <row r="48" spans="1:27" x14ac:dyDescent="0.3">
      <c r="K48" s="1" t="s">
        <v>10</v>
      </c>
      <c r="L48" s="5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3">
      <c r="A49" t="s">
        <v>10</v>
      </c>
      <c r="B49" t="s">
        <v>424</v>
      </c>
      <c r="C49" t="s">
        <v>425</v>
      </c>
      <c r="D49" t="s">
        <v>110</v>
      </c>
      <c r="E49" t="s">
        <v>427</v>
      </c>
      <c r="F49" t="s">
        <v>427</v>
      </c>
      <c r="G49" t="s">
        <v>427</v>
      </c>
      <c r="I49" t="s">
        <v>110</v>
      </c>
      <c r="L49" s="5" t="s">
        <v>110</v>
      </c>
      <c r="M49" s="1" t="s">
        <v>1</v>
      </c>
      <c r="N49" s="1"/>
      <c r="O49" s="1"/>
      <c r="P49" s="1"/>
      <c r="Q49" s="1"/>
      <c r="R49" s="2">
        <v>0.26522185677135401</v>
      </c>
      <c r="S49" s="2"/>
      <c r="T49" s="1"/>
      <c r="U49" s="1"/>
      <c r="V49" s="1"/>
      <c r="W49" s="1"/>
      <c r="X49" s="1"/>
      <c r="Y49" s="1">
        <v>22</v>
      </c>
      <c r="Z49" s="1"/>
      <c r="AA49" s="1"/>
    </row>
    <row r="50" spans="1:27" x14ac:dyDescent="0.3">
      <c r="A50" t="s">
        <v>10</v>
      </c>
      <c r="B50" t="s">
        <v>424</v>
      </c>
      <c r="C50" t="s">
        <v>425</v>
      </c>
      <c r="D50" t="s">
        <v>111</v>
      </c>
      <c r="E50" t="s">
        <v>427</v>
      </c>
      <c r="F50" t="s">
        <v>427</v>
      </c>
      <c r="G50" t="s">
        <v>427</v>
      </c>
      <c r="I50" t="s">
        <v>111</v>
      </c>
      <c r="L50" s="5" t="s">
        <v>111</v>
      </c>
      <c r="M50" s="1" t="s">
        <v>1</v>
      </c>
      <c r="N50" s="1"/>
      <c r="O50" s="1"/>
      <c r="P50" s="2">
        <v>0.160898556009866</v>
      </c>
      <c r="Q50" s="1"/>
      <c r="R50" s="1"/>
      <c r="S50" s="2">
        <f>T50/0.5</f>
        <v>0.44349110942207398</v>
      </c>
      <c r="T50" s="2">
        <v>0.22174555471103699</v>
      </c>
      <c r="U50" s="1"/>
      <c r="V50" s="1"/>
      <c r="W50" s="1">
        <v>1</v>
      </c>
      <c r="X50" s="1"/>
      <c r="Y50" s="1"/>
      <c r="Z50" s="1">
        <f>AA50/0.5</f>
        <v>14</v>
      </c>
      <c r="AA50" s="1">
        <v>7</v>
      </c>
    </row>
    <row r="51" spans="1:27" x14ac:dyDescent="0.3">
      <c r="A51" t="s">
        <v>10</v>
      </c>
      <c r="B51" t="s">
        <v>424</v>
      </c>
      <c r="C51" t="s">
        <v>425</v>
      </c>
      <c r="D51" t="s">
        <v>112</v>
      </c>
      <c r="E51" t="s">
        <v>427</v>
      </c>
      <c r="F51" t="s">
        <v>427</v>
      </c>
      <c r="G51" t="s">
        <v>427</v>
      </c>
      <c r="I51" t="s">
        <v>112</v>
      </c>
      <c r="L51" s="5" t="s">
        <v>112</v>
      </c>
      <c r="M51" s="1" t="s">
        <v>1</v>
      </c>
      <c r="N51" s="1"/>
      <c r="O51" s="1"/>
      <c r="P51" s="1"/>
      <c r="Q51" s="2">
        <v>1.4526111039340799E-2</v>
      </c>
      <c r="R51" s="1"/>
      <c r="S51" s="1"/>
      <c r="T51" s="1"/>
      <c r="U51" s="1"/>
      <c r="V51" s="1"/>
      <c r="W51" s="1"/>
      <c r="X51" s="1">
        <v>1</v>
      </c>
      <c r="Y51" s="1"/>
      <c r="Z51" s="1"/>
      <c r="AA51" s="1"/>
    </row>
    <row r="52" spans="1:27" x14ac:dyDescent="0.3">
      <c r="A52" t="s">
        <v>10</v>
      </c>
      <c r="B52" t="s">
        <v>424</v>
      </c>
      <c r="C52" t="s">
        <v>425</v>
      </c>
      <c r="D52" t="s">
        <v>113</v>
      </c>
      <c r="E52" t="s">
        <v>427</v>
      </c>
      <c r="F52" t="s">
        <v>427</v>
      </c>
      <c r="G52" t="s">
        <v>427</v>
      </c>
      <c r="I52" t="s">
        <v>113</v>
      </c>
      <c r="L52" s="5" t="s">
        <v>113</v>
      </c>
      <c r="M52" s="1" t="s">
        <v>1</v>
      </c>
      <c r="N52" s="1"/>
      <c r="O52" s="1"/>
      <c r="P52" s="1"/>
      <c r="Q52" s="1"/>
      <c r="R52" s="2">
        <v>0.25146469149524697</v>
      </c>
      <c r="S52" s="2"/>
      <c r="T52" s="1"/>
      <c r="U52" s="1"/>
      <c r="V52" s="1"/>
      <c r="W52" s="1"/>
      <c r="X52" s="1"/>
      <c r="Y52" s="1">
        <v>20</v>
      </c>
      <c r="Z52" s="1"/>
      <c r="AA52" s="1"/>
    </row>
    <row r="53" spans="1:27" x14ac:dyDescent="0.3">
      <c r="A53" t="s">
        <v>10</v>
      </c>
      <c r="B53" t="s">
        <v>424</v>
      </c>
      <c r="C53" t="s">
        <v>425</v>
      </c>
      <c r="D53" t="s">
        <v>114</v>
      </c>
      <c r="E53" t="s">
        <v>427</v>
      </c>
      <c r="F53" t="s">
        <v>427</v>
      </c>
      <c r="G53" t="s">
        <v>427</v>
      </c>
      <c r="I53" t="s">
        <v>114</v>
      </c>
      <c r="L53" s="5" t="s">
        <v>114</v>
      </c>
      <c r="M53" s="1" t="s">
        <v>1</v>
      </c>
      <c r="N53" s="2">
        <v>2.0766533702560301</v>
      </c>
      <c r="O53" s="2">
        <v>6.1820262931082497E-3</v>
      </c>
      <c r="P53" s="2">
        <v>8.0907165666375693</v>
      </c>
      <c r="Q53" s="1"/>
      <c r="R53" s="1"/>
      <c r="S53" s="1"/>
      <c r="T53" s="1"/>
      <c r="U53" s="1">
        <v>3</v>
      </c>
      <c r="V53" s="1">
        <v>1</v>
      </c>
      <c r="W53" s="1">
        <v>9</v>
      </c>
      <c r="X53" s="1"/>
      <c r="Y53" s="1"/>
      <c r="Z53" s="1"/>
      <c r="AA53" s="1"/>
    </row>
    <row r="54" spans="1:27" x14ac:dyDescent="0.3">
      <c r="A54" t="s">
        <v>10</v>
      </c>
      <c r="B54" t="s">
        <v>424</v>
      </c>
      <c r="C54" t="s">
        <v>425</v>
      </c>
      <c r="D54" t="s">
        <v>116</v>
      </c>
      <c r="E54" t="s">
        <v>427</v>
      </c>
      <c r="F54" t="s">
        <v>427</v>
      </c>
      <c r="G54" t="s">
        <v>427</v>
      </c>
      <c r="H54" t="s">
        <v>432</v>
      </c>
      <c r="I54" t="s">
        <v>115</v>
      </c>
      <c r="L54" s="5" t="s">
        <v>115</v>
      </c>
      <c r="M54" s="1" t="s">
        <v>1</v>
      </c>
      <c r="N54" s="1"/>
      <c r="O54" s="1"/>
      <c r="P54" s="1"/>
      <c r="Q54" s="1"/>
      <c r="R54" s="2">
        <v>1.42205923807793</v>
      </c>
      <c r="S54" s="2"/>
      <c r="T54" s="1"/>
      <c r="U54" s="1"/>
      <c r="V54" s="1"/>
      <c r="W54" s="1"/>
      <c r="X54" s="1"/>
      <c r="Y54" s="1">
        <v>7</v>
      </c>
      <c r="Z54" s="1"/>
      <c r="AA54" s="1"/>
    </row>
    <row r="55" spans="1:27" x14ac:dyDescent="0.3">
      <c r="A55" t="s">
        <v>10</v>
      </c>
      <c r="B55" t="s">
        <v>424</v>
      </c>
      <c r="C55" t="s">
        <v>425</v>
      </c>
      <c r="D55" t="s">
        <v>116</v>
      </c>
      <c r="E55" t="s">
        <v>427</v>
      </c>
      <c r="F55" t="s">
        <v>427</v>
      </c>
      <c r="G55" t="s">
        <v>427</v>
      </c>
      <c r="I55" t="s">
        <v>116</v>
      </c>
      <c r="L55" s="5" t="s">
        <v>116</v>
      </c>
      <c r="M55" s="1" t="s">
        <v>1</v>
      </c>
      <c r="N55" s="1"/>
      <c r="O55" s="1"/>
      <c r="P55" s="1"/>
      <c r="Q55" s="1"/>
      <c r="R55" s="1"/>
      <c r="S55" s="2">
        <f t="shared" ref="S55:S56" si="0">T55/0.5</f>
        <v>3.1730096907615</v>
      </c>
      <c r="T55" s="2">
        <v>1.58650484538075</v>
      </c>
      <c r="U55" s="1"/>
      <c r="V55" s="1"/>
      <c r="W55" s="1"/>
      <c r="X55" s="1"/>
      <c r="Y55" s="1"/>
      <c r="Z55" s="1">
        <f t="shared" ref="Z55:Z56" si="1">AA55/0.5</f>
        <v>16</v>
      </c>
      <c r="AA55" s="1">
        <v>8</v>
      </c>
    </row>
    <row r="56" spans="1:27" x14ac:dyDescent="0.3">
      <c r="A56" t="s">
        <v>10</v>
      </c>
      <c r="B56" t="s">
        <v>424</v>
      </c>
      <c r="C56" t="s">
        <v>425</v>
      </c>
      <c r="D56" t="s">
        <v>117</v>
      </c>
      <c r="E56" t="s">
        <v>427</v>
      </c>
      <c r="F56" t="s">
        <v>427</v>
      </c>
      <c r="G56" t="s">
        <v>427</v>
      </c>
      <c r="I56" t="s">
        <v>117</v>
      </c>
      <c r="L56" s="5" t="s">
        <v>117</v>
      </c>
      <c r="M56" s="1" t="s">
        <v>1</v>
      </c>
      <c r="N56" s="2">
        <v>0.30507959569662102</v>
      </c>
      <c r="O56" s="1"/>
      <c r="P56" s="2">
        <v>3.0168956520136199</v>
      </c>
      <c r="Q56" s="2">
        <v>10.4711301951731</v>
      </c>
      <c r="R56" s="2">
        <v>4.1990075612426301</v>
      </c>
      <c r="S56" s="2">
        <f t="shared" si="0"/>
        <v>8.7807521049125405</v>
      </c>
      <c r="T56" s="2">
        <v>4.3903760524562703</v>
      </c>
      <c r="U56" s="1">
        <v>1</v>
      </c>
      <c r="V56" s="1"/>
      <c r="W56" s="1">
        <v>23</v>
      </c>
      <c r="X56" s="1">
        <v>20</v>
      </c>
      <c r="Y56" s="1">
        <v>35</v>
      </c>
      <c r="Z56" s="1">
        <f t="shared" si="1"/>
        <v>78</v>
      </c>
      <c r="AA56" s="1">
        <v>39</v>
      </c>
    </row>
    <row r="57" spans="1:27" x14ac:dyDescent="0.3">
      <c r="A57" t="s">
        <v>10</v>
      </c>
      <c r="B57" t="s">
        <v>424</v>
      </c>
      <c r="C57" t="s">
        <v>425</v>
      </c>
      <c r="D57" t="s">
        <v>118</v>
      </c>
      <c r="E57" t="s">
        <v>427</v>
      </c>
      <c r="F57" t="s">
        <v>427</v>
      </c>
      <c r="G57" t="s">
        <v>427</v>
      </c>
      <c r="I57" t="s">
        <v>118</v>
      </c>
      <c r="L57" s="5" t="s">
        <v>118</v>
      </c>
      <c r="M57" s="1" t="s">
        <v>1</v>
      </c>
      <c r="N57" s="1"/>
      <c r="O57" s="1"/>
      <c r="P57" s="1"/>
      <c r="Q57" s="2">
        <v>0.14188127071099099</v>
      </c>
      <c r="R57" s="1"/>
      <c r="S57" s="1"/>
      <c r="T57" s="1"/>
      <c r="U57" s="1"/>
      <c r="V57" s="1"/>
      <c r="W57" s="1"/>
      <c r="X57" s="1">
        <v>1</v>
      </c>
      <c r="Y57" s="1"/>
      <c r="Z57" s="1"/>
      <c r="AA57" s="1"/>
    </row>
    <row r="58" spans="1:27" x14ac:dyDescent="0.3">
      <c r="A58" t="s">
        <v>10</v>
      </c>
      <c r="B58" t="s">
        <v>424</v>
      </c>
      <c r="C58" t="s">
        <v>425</v>
      </c>
      <c r="D58" t="s">
        <v>119</v>
      </c>
      <c r="E58" t="s">
        <v>427</v>
      </c>
      <c r="F58" t="s">
        <v>427</v>
      </c>
      <c r="G58" t="s">
        <v>427</v>
      </c>
      <c r="I58" t="s">
        <v>119</v>
      </c>
      <c r="L58" s="5" t="s">
        <v>119</v>
      </c>
      <c r="M58" s="1" t="s">
        <v>1</v>
      </c>
      <c r="N58" s="1"/>
      <c r="O58" s="1"/>
      <c r="P58" s="1"/>
      <c r="Q58" s="1"/>
      <c r="R58" s="2">
        <v>0.52559127821811902</v>
      </c>
      <c r="S58" s="2"/>
      <c r="T58" s="1"/>
      <c r="U58" s="1"/>
      <c r="V58" s="1"/>
      <c r="W58" s="1"/>
      <c r="X58" s="1"/>
      <c r="Y58" s="1">
        <v>23</v>
      </c>
      <c r="Z58" s="1"/>
      <c r="AA58" s="1"/>
    </row>
    <row r="59" spans="1:27" x14ac:dyDescent="0.3">
      <c r="A59" t="s">
        <v>10</v>
      </c>
      <c r="B59" t="s">
        <v>424</v>
      </c>
      <c r="C59" t="s">
        <v>425</v>
      </c>
      <c r="D59" t="s">
        <v>118</v>
      </c>
      <c r="E59" t="s">
        <v>427</v>
      </c>
      <c r="F59" t="s">
        <v>427</v>
      </c>
      <c r="G59" t="s">
        <v>427</v>
      </c>
      <c r="H59" t="s">
        <v>432</v>
      </c>
      <c r="I59" t="s">
        <v>120</v>
      </c>
      <c r="L59" s="5" t="s">
        <v>120</v>
      </c>
      <c r="M59" s="1" t="s">
        <v>1</v>
      </c>
      <c r="N59" s="1"/>
      <c r="O59" s="1"/>
      <c r="P59" s="2">
        <v>0.17079566885542699</v>
      </c>
      <c r="Q59" s="1"/>
      <c r="R59" s="1"/>
      <c r="S59" s="1"/>
      <c r="T59" s="1"/>
      <c r="U59" s="1"/>
      <c r="V59" s="1"/>
      <c r="W59" s="1">
        <v>3</v>
      </c>
      <c r="X59" s="1"/>
      <c r="Y59" s="1"/>
      <c r="Z59" s="1"/>
      <c r="AA59" s="1"/>
    </row>
    <row r="60" spans="1:27" x14ac:dyDescent="0.3">
      <c r="A60" t="s">
        <v>10</v>
      </c>
      <c r="B60" t="s">
        <v>441</v>
      </c>
      <c r="C60" t="s">
        <v>425</v>
      </c>
      <c r="D60" t="s">
        <v>121</v>
      </c>
      <c r="E60" t="s">
        <v>427</v>
      </c>
      <c r="F60" t="s">
        <v>427</v>
      </c>
      <c r="G60" t="s">
        <v>427</v>
      </c>
      <c r="I60" t="s">
        <v>121</v>
      </c>
      <c r="L60" s="5" t="s">
        <v>121</v>
      </c>
      <c r="M60" s="1" t="s">
        <v>1</v>
      </c>
      <c r="N60" s="2">
        <v>0.181241292778313</v>
      </c>
      <c r="O60" s="1"/>
      <c r="P60" s="1"/>
      <c r="Q60" s="1"/>
      <c r="R60" s="1"/>
      <c r="S60" s="1"/>
      <c r="T60" s="1"/>
      <c r="U60" s="1">
        <v>5</v>
      </c>
      <c r="V60" s="1"/>
      <c r="W60" s="1"/>
      <c r="X60" s="1"/>
      <c r="Y60" s="1"/>
      <c r="Z60" s="1"/>
      <c r="AA60" s="1"/>
    </row>
    <row r="61" spans="1:27" x14ac:dyDescent="0.3">
      <c r="K61" s="1" t="s">
        <v>11</v>
      </c>
      <c r="L61" s="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3">
      <c r="A62" t="s">
        <v>11</v>
      </c>
      <c r="B62" t="s">
        <v>424</v>
      </c>
      <c r="C62" t="s">
        <v>425</v>
      </c>
      <c r="D62" t="s">
        <v>122</v>
      </c>
      <c r="E62" t="s">
        <v>427</v>
      </c>
      <c r="F62" t="s">
        <v>427</v>
      </c>
      <c r="G62" t="s">
        <v>427</v>
      </c>
      <c r="I62" t="s">
        <v>122</v>
      </c>
      <c r="L62" s="5" t="s">
        <v>122</v>
      </c>
      <c r="M62" s="1" t="s">
        <v>1</v>
      </c>
      <c r="N62" s="1"/>
      <c r="O62" s="1"/>
      <c r="P62" s="1"/>
      <c r="Q62" s="1"/>
      <c r="R62" s="2">
        <v>3.6734705665260901E-2</v>
      </c>
      <c r="S62" s="2"/>
      <c r="T62" s="1"/>
      <c r="U62" s="1"/>
      <c r="V62" s="1"/>
      <c r="W62" s="1"/>
      <c r="X62" s="1"/>
      <c r="Y62" s="1">
        <v>1</v>
      </c>
      <c r="Z62" s="1"/>
      <c r="AA62" s="1"/>
    </row>
    <row r="63" spans="1:27" x14ac:dyDescent="0.3">
      <c r="A63" t="s">
        <v>11</v>
      </c>
      <c r="B63" t="s">
        <v>424</v>
      </c>
      <c r="C63" t="s">
        <v>425</v>
      </c>
      <c r="D63" t="s">
        <v>123</v>
      </c>
      <c r="E63" t="s">
        <v>427</v>
      </c>
      <c r="F63" t="s">
        <v>427</v>
      </c>
      <c r="G63" t="s">
        <v>427</v>
      </c>
      <c r="I63" t="s">
        <v>123</v>
      </c>
      <c r="L63" s="5" t="s">
        <v>123</v>
      </c>
      <c r="M63" s="1" t="s">
        <v>1</v>
      </c>
      <c r="N63" s="1"/>
      <c r="O63" s="1"/>
      <c r="P63" s="1"/>
      <c r="Q63" s="1"/>
      <c r="R63" s="1"/>
      <c r="S63" s="2">
        <f>T63/0.5</f>
        <v>0.46558035110572998</v>
      </c>
      <c r="T63" s="2">
        <v>0.23279017555286499</v>
      </c>
      <c r="U63" s="1"/>
      <c r="V63" s="1"/>
      <c r="W63" s="1"/>
      <c r="X63" s="1"/>
      <c r="Y63" s="1"/>
      <c r="Z63" s="1">
        <f>AA63/0.5</f>
        <v>10</v>
      </c>
      <c r="AA63" s="1">
        <v>5</v>
      </c>
    </row>
    <row r="64" spans="1:27" x14ac:dyDescent="0.3">
      <c r="A64" t="s">
        <v>11</v>
      </c>
      <c r="B64" t="s">
        <v>424</v>
      </c>
      <c r="C64" t="s">
        <v>425</v>
      </c>
      <c r="D64" t="s">
        <v>124</v>
      </c>
      <c r="E64" t="s">
        <v>427</v>
      </c>
      <c r="F64" t="s">
        <v>427</v>
      </c>
      <c r="G64" t="s">
        <v>427</v>
      </c>
      <c r="I64" t="s">
        <v>124</v>
      </c>
      <c r="L64" s="5" t="s">
        <v>124</v>
      </c>
      <c r="M64" s="1" t="s">
        <v>1</v>
      </c>
      <c r="N64" s="1"/>
      <c r="O64" s="2">
        <v>6.4341086943341796</v>
      </c>
      <c r="P64" s="1"/>
      <c r="Q64" s="1"/>
      <c r="R64" s="1"/>
      <c r="S64" s="1"/>
      <c r="T64" s="1"/>
      <c r="U64" s="1"/>
      <c r="V64" s="1">
        <v>19</v>
      </c>
      <c r="W64" s="1"/>
      <c r="X64" s="1"/>
      <c r="Y64" s="1"/>
      <c r="Z64" s="1"/>
      <c r="AA64" s="1"/>
    </row>
    <row r="65" spans="1:27" x14ac:dyDescent="0.3">
      <c r="A65" t="s">
        <v>11</v>
      </c>
      <c r="B65" t="s">
        <v>424</v>
      </c>
      <c r="C65" t="s">
        <v>425</v>
      </c>
      <c r="D65" t="s">
        <v>125</v>
      </c>
      <c r="E65" t="s">
        <v>426</v>
      </c>
      <c r="F65" t="s">
        <v>427</v>
      </c>
      <c r="G65" t="s">
        <v>427</v>
      </c>
      <c r="I65" t="s">
        <v>125</v>
      </c>
      <c r="L65" s="5" t="s">
        <v>125</v>
      </c>
      <c r="M65" s="1" t="s">
        <v>1</v>
      </c>
      <c r="N65" s="2">
        <v>3.6535614942795198</v>
      </c>
      <c r="O65" s="1"/>
      <c r="P65" s="2">
        <v>2.5812065693661301</v>
      </c>
      <c r="Q65" s="1"/>
      <c r="R65" s="2">
        <v>0.119649106418003</v>
      </c>
      <c r="S65" s="2"/>
      <c r="T65" s="1"/>
      <c r="U65" s="1">
        <v>81</v>
      </c>
      <c r="V65" s="1"/>
      <c r="W65" s="1">
        <v>37</v>
      </c>
      <c r="X65" s="1"/>
      <c r="Y65" s="1">
        <v>1</v>
      </c>
      <c r="Z65" s="1"/>
      <c r="AA65" s="1"/>
    </row>
    <row r="66" spans="1:27" x14ac:dyDescent="0.3">
      <c r="A66" t="s">
        <v>427</v>
      </c>
      <c r="B66" t="s">
        <v>427</v>
      </c>
      <c r="C66" t="s">
        <v>427</v>
      </c>
      <c r="D66" t="s">
        <v>427</v>
      </c>
      <c r="E66" t="s">
        <v>427</v>
      </c>
      <c r="F66" t="s">
        <v>427</v>
      </c>
      <c r="G66" t="s">
        <v>427</v>
      </c>
      <c r="H66" t="s">
        <v>437</v>
      </c>
      <c r="I66" t="s">
        <v>442</v>
      </c>
      <c r="L66" s="5" t="s">
        <v>410</v>
      </c>
      <c r="M66" s="1" t="s">
        <v>1</v>
      </c>
      <c r="N66" s="1"/>
      <c r="O66" s="1"/>
      <c r="P66" s="1"/>
      <c r="Q66" s="2">
        <v>1.6755706584335901E-2</v>
      </c>
      <c r="R66" s="1"/>
      <c r="S66" s="1"/>
      <c r="T66" s="1"/>
      <c r="U66" s="1"/>
      <c r="V66" s="1"/>
      <c r="W66" s="1"/>
      <c r="X66" s="1">
        <v>1</v>
      </c>
      <c r="Y66" s="1"/>
      <c r="Z66" s="1"/>
      <c r="AA66" s="1"/>
    </row>
    <row r="67" spans="1:27" x14ac:dyDescent="0.3">
      <c r="A67" t="s">
        <v>11</v>
      </c>
      <c r="B67" t="s">
        <v>424</v>
      </c>
      <c r="C67" t="s">
        <v>425</v>
      </c>
      <c r="D67" t="s">
        <v>126</v>
      </c>
      <c r="E67" t="s">
        <v>434</v>
      </c>
      <c r="F67" t="s">
        <v>434</v>
      </c>
      <c r="G67" t="s">
        <v>427</v>
      </c>
      <c r="I67" t="s">
        <v>126</v>
      </c>
      <c r="L67" s="5" t="s">
        <v>126</v>
      </c>
      <c r="M67" s="1" t="s">
        <v>1</v>
      </c>
      <c r="N67" s="2">
        <v>1.6985271567003302E-2</v>
      </c>
      <c r="O67" s="1"/>
      <c r="P67" s="1"/>
      <c r="Q67" s="1"/>
      <c r="R67" s="1"/>
      <c r="S67" s="1"/>
      <c r="T67" s="1"/>
      <c r="U67" s="1">
        <v>1</v>
      </c>
      <c r="V67" s="1"/>
      <c r="W67" s="1"/>
      <c r="X67" s="1"/>
      <c r="Y67" s="1"/>
      <c r="Z67" s="1"/>
      <c r="AA67" s="1"/>
    </row>
    <row r="68" spans="1:27" x14ac:dyDescent="0.3">
      <c r="K68" s="1" t="s">
        <v>12</v>
      </c>
      <c r="L68" s="5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3">
      <c r="A69" t="s">
        <v>443</v>
      </c>
      <c r="B69" t="s">
        <v>441</v>
      </c>
      <c r="C69" t="s">
        <v>425</v>
      </c>
      <c r="D69" t="s">
        <v>127</v>
      </c>
      <c r="E69" t="s">
        <v>427</v>
      </c>
      <c r="F69" t="s">
        <v>427</v>
      </c>
      <c r="G69" t="s">
        <v>427</v>
      </c>
      <c r="I69" t="s">
        <v>127</v>
      </c>
      <c r="L69" s="5" t="s">
        <v>127</v>
      </c>
      <c r="M69" s="1" t="s">
        <v>1</v>
      </c>
      <c r="N69" s="2">
        <v>1.2478261374094199</v>
      </c>
      <c r="O69" s="1"/>
      <c r="P69" s="1"/>
      <c r="Q69" s="1"/>
      <c r="R69" s="1"/>
      <c r="S69" s="1"/>
      <c r="T69" s="1"/>
      <c r="U69" s="1">
        <v>3</v>
      </c>
      <c r="V69" s="1"/>
      <c r="W69" s="1"/>
      <c r="X69" s="1"/>
      <c r="Y69" s="1"/>
      <c r="Z69" s="1"/>
      <c r="AA69" s="1"/>
    </row>
    <row r="70" spans="1:27" x14ac:dyDescent="0.3">
      <c r="A70" t="s">
        <v>443</v>
      </c>
      <c r="B70" t="s">
        <v>424</v>
      </c>
      <c r="C70" t="s">
        <v>425</v>
      </c>
      <c r="D70" t="s">
        <v>444</v>
      </c>
      <c r="E70" t="s">
        <v>427</v>
      </c>
      <c r="F70" t="s">
        <v>427</v>
      </c>
      <c r="G70" t="s">
        <v>427</v>
      </c>
      <c r="H70" t="s">
        <v>432</v>
      </c>
      <c r="I70" t="s">
        <v>128</v>
      </c>
      <c r="L70" s="5" t="s">
        <v>128</v>
      </c>
      <c r="M70" s="1" t="s">
        <v>1</v>
      </c>
      <c r="N70" s="1"/>
      <c r="O70" s="2">
        <v>5.9398066578506503</v>
      </c>
      <c r="P70" s="1"/>
      <c r="Q70" s="1"/>
      <c r="R70" s="1"/>
      <c r="S70" s="1"/>
      <c r="T70" s="1"/>
      <c r="U70" s="1"/>
      <c r="V70" s="1">
        <v>7</v>
      </c>
      <c r="W70" s="1"/>
      <c r="X70" s="1"/>
      <c r="Y70" s="1"/>
      <c r="Z70" s="1"/>
      <c r="AA70" s="1"/>
    </row>
    <row r="71" spans="1:27" x14ac:dyDescent="0.3">
      <c r="K71" s="1" t="s">
        <v>13</v>
      </c>
      <c r="L71" s="5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3">
      <c r="A72" t="s">
        <v>13</v>
      </c>
      <c r="B72" t="s">
        <v>424</v>
      </c>
      <c r="C72" t="s">
        <v>425</v>
      </c>
      <c r="D72" t="s">
        <v>445</v>
      </c>
      <c r="E72" t="s">
        <v>427</v>
      </c>
      <c r="F72" t="s">
        <v>427</v>
      </c>
      <c r="G72" t="s">
        <v>427</v>
      </c>
      <c r="H72" t="s">
        <v>432</v>
      </c>
      <c r="I72" t="s">
        <v>129</v>
      </c>
      <c r="L72" s="5" t="s">
        <v>129</v>
      </c>
      <c r="M72" s="1" t="s">
        <v>1</v>
      </c>
      <c r="N72" s="2">
        <v>0.68240427147142801</v>
      </c>
      <c r="O72" s="1"/>
      <c r="P72" s="1"/>
      <c r="Q72" s="1"/>
      <c r="R72" s="1"/>
      <c r="S72" s="1"/>
      <c r="T72" s="1"/>
      <c r="U72" s="1">
        <v>1</v>
      </c>
      <c r="V72" s="1"/>
      <c r="W72" s="1"/>
      <c r="X72" s="1"/>
      <c r="Y72" s="1"/>
      <c r="Z72" s="1"/>
      <c r="AA72" s="1"/>
    </row>
    <row r="73" spans="1:27" x14ac:dyDescent="0.3">
      <c r="K73" s="1" t="s">
        <v>14</v>
      </c>
      <c r="L73" s="5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3">
      <c r="A74" t="s">
        <v>427</v>
      </c>
      <c r="B74" t="s">
        <v>427</v>
      </c>
      <c r="C74" t="s">
        <v>427</v>
      </c>
      <c r="D74" t="s">
        <v>427</v>
      </c>
      <c r="E74" t="s">
        <v>427</v>
      </c>
      <c r="F74" t="s">
        <v>427</v>
      </c>
      <c r="G74" t="s">
        <v>427</v>
      </c>
      <c r="H74" t="s">
        <v>437</v>
      </c>
      <c r="I74" t="s">
        <v>130</v>
      </c>
      <c r="L74" s="5" t="s">
        <v>130</v>
      </c>
      <c r="M74" s="1" t="s">
        <v>1</v>
      </c>
      <c r="N74" s="1"/>
      <c r="O74" s="2">
        <v>0.19714025399205101</v>
      </c>
      <c r="P74" s="1"/>
      <c r="Q74" s="1"/>
      <c r="R74" s="1"/>
      <c r="S74" s="1"/>
      <c r="T74" s="1"/>
      <c r="U74" s="1"/>
      <c r="V74" s="1">
        <v>16</v>
      </c>
      <c r="W74" s="1"/>
      <c r="X74" s="1"/>
      <c r="Y74" s="1"/>
      <c r="Z74" s="1"/>
      <c r="AA74" s="1"/>
    </row>
    <row r="75" spans="1:27" x14ac:dyDescent="0.3">
      <c r="K75" s="1" t="s">
        <v>15</v>
      </c>
      <c r="L75" s="5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3">
      <c r="A76" t="s">
        <v>15</v>
      </c>
      <c r="B76" t="s">
        <v>424</v>
      </c>
      <c r="C76" t="s">
        <v>425</v>
      </c>
      <c r="D76" t="s">
        <v>131</v>
      </c>
      <c r="E76" t="s">
        <v>427</v>
      </c>
      <c r="F76" t="s">
        <v>427</v>
      </c>
      <c r="G76" t="s">
        <v>427</v>
      </c>
      <c r="I76" t="s">
        <v>131</v>
      </c>
      <c r="L76" s="5" t="s">
        <v>131</v>
      </c>
      <c r="M76" s="1" t="s">
        <v>1</v>
      </c>
      <c r="N76" s="1"/>
      <c r="O76" s="2">
        <v>0.47790688722791003</v>
      </c>
      <c r="P76" s="2">
        <v>1.52225797687027E-2</v>
      </c>
      <c r="Q76" s="2">
        <v>2.6000827773323899E-2</v>
      </c>
      <c r="R76" s="1"/>
      <c r="S76" s="1"/>
      <c r="T76" s="1"/>
      <c r="U76" s="1"/>
      <c r="V76" s="1">
        <v>6</v>
      </c>
      <c r="W76" s="1">
        <v>1</v>
      </c>
      <c r="X76" s="1">
        <v>2</v>
      </c>
      <c r="Y76" s="1"/>
      <c r="Z76" s="1"/>
      <c r="AA76" s="1"/>
    </row>
    <row r="77" spans="1:27" x14ac:dyDescent="0.3">
      <c r="K77" s="1" t="s">
        <v>16</v>
      </c>
      <c r="L77" s="5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3">
      <c r="A78" t="s">
        <v>16</v>
      </c>
      <c r="B78" t="s">
        <v>424</v>
      </c>
      <c r="C78" t="s">
        <v>425</v>
      </c>
      <c r="D78" t="s">
        <v>132</v>
      </c>
      <c r="E78" t="s">
        <v>427</v>
      </c>
      <c r="F78" t="s">
        <v>427</v>
      </c>
      <c r="G78" t="s">
        <v>427</v>
      </c>
      <c r="I78" t="s">
        <v>132</v>
      </c>
      <c r="L78" s="5" t="s">
        <v>132</v>
      </c>
      <c r="M78" s="1" t="s">
        <v>1</v>
      </c>
      <c r="N78" s="1"/>
      <c r="O78" s="2">
        <v>3.1667891979566298</v>
      </c>
      <c r="P78" s="1"/>
      <c r="Q78" s="1"/>
      <c r="R78" s="1"/>
      <c r="S78" s="1"/>
      <c r="T78" s="1"/>
      <c r="U78" s="1"/>
      <c r="V78" s="1">
        <v>13</v>
      </c>
      <c r="W78" s="1"/>
      <c r="X78" s="1"/>
      <c r="Y78" s="1"/>
      <c r="Z78" s="1"/>
      <c r="AA78" s="1"/>
    </row>
    <row r="79" spans="1:27" x14ac:dyDescent="0.3">
      <c r="K79" s="1" t="s">
        <v>17</v>
      </c>
      <c r="L79" s="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3">
      <c r="A80" t="s">
        <v>17</v>
      </c>
      <c r="B80" t="s">
        <v>424</v>
      </c>
      <c r="C80" t="s">
        <v>425</v>
      </c>
      <c r="D80" t="s">
        <v>446</v>
      </c>
      <c r="E80" t="s">
        <v>427</v>
      </c>
      <c r="F80" t="s">
        <v>427</v>
      </c>
      <c r="G80" t="s">
        <v>427</v>
      </c>
      <c r="H80" t="s">
        <v>432</v>
      </c>
      <c r="I80" t="s">
        <v>133</v>
      </c>
      <c r="L80" s="5" t="s">
        <v>133</v>
      </c>
      <c r="M80" s="1" t="s">
        <v>1</v>
      </c>
      <c r="N80" s="2">
        <v>6.1104807056637699E-2</v>
      </c>
      <c r="O80" s="2">
        <v>0.49278769854718701</v>
      </c>
      <c r="P80" s="1"/>
      <c r="Q80" s="1"/>
      <c r="R80" s="1"/>
      <c r="S80" s="1"/>
      <c r="T80" s="1"/>
      <c r="U80" s="1">
        <v>3</v>
      </c>
      <c r="V80" s="1">
        <v>5</v>
      </c>
      <c r="W80" s="1"/>
      <c r="X80" s="1"/>
      <c r="Y80" s="1"/>
      <c r="Z80" s="1"/>
      <c r="AA80" s="1"/>
    </row>
    <row r="81" spans="1:27" x14ac:dyDescent="0.3">
      <c r="A81" t="s">
        <v>17</v>
      </c>
      <c r="B81" t="s">
        <v>424</v>
      </c>
      <c r="C81" t="s">
        <v>425</v>
      </c>
      <c r="D81" t="s">
        <v>447</v>
      </c>
      <c r="E81" t="s">
        <v>427</v>
      </c>
      <c r="F81" t="s">
        <v>427</v>
      </c>
      <c r="G81" t="s">
        <v>427</v>
      </c>
      <c r="H81" t="s">
        <v>432</v>
      </c>
      <c r="I81" t="s">
        <v>134</v>
      </c>
      <c r="L81" s="5" t="s">
        <v>134</v>
      </c>
      <c r="M81" s="1" t="s">
        <v>1</v>
      </c>
      <c r="N81" s="2">
        <v>0.241069666805378</v>
      </c>
      <c r="O81" s="2">
        <v>4.7856926437477798E-2</v>
      </c>
      <c r="P81" s="1"/>
      <c r="Q81" s="1"/>
      <c r="R81" s="2">
        <v>9.2877069374785695E-2</v>
      </c>
      <c r="S81" s="2"/>
      <c r="T81" s="1"/>
      <c r="U81" s="1">
        <v>5</v>
      </c>
      <c r="V81" s="1">
        <v>4</v>
      </c>
      <c r="W81" s="1"/>
      <c r="X81" s="1"/>
      <c r="Y81" s="1">
        <v>2</v>
      </c>
      <c r="Z81" s="1"/>
      <c r="AA81" s="1"/>
    </row>
    <row r="82" spans="1:27" x14ac:dyDescent="0.3">
      <c r="A82" t="s">
        <v>17</v>
      </c>
      <c r="B82" t="s">
        <v>424</v>
      </c>
      <c r="C82" t="s">
        <v>425</v>
      </c>
      <c r="D82" t="s">
        <v>448</v>
      </c>
      <c r="E82" t="s">
        <v>426</v>
      </c>
      <c r="F82" t="s">
        <v>427</v>
      </c>
      <c r="G82" t="s">
        <v>427</v>
      </c>
      <c r="H82" t="s">
        <v>432</v>
      </c>
      <c r="I82" t="s">
        <v>135</v>
      </c>
      <c r="L82" s="5" t="s">
        <v>135</v>
      </c>
      <c r="M82" s="1" t="s">
        <v>1</v>
      </c>
      <c r="N82" s="1"/>
      <c r="O82" s="1"/>
      <c r="P82" s="2">
        <v>2.9146784131809999E-2</v>
      </c>
      <c r="Q82" s="1"/>
      <c r="R82" s="1"/>
      <c r="S82" s="1"/>
      <c r="T82" s="1"/>
      <c r="U82" s="1"/>
      <c r="V82" s="1"/>
      <c r="W82" s="1">
        <v>2</v>
      </c>
      <c r="X82" s="1"/>
      <c r="Y82" s="1"/>
      <c r="Z82" s="1"/>
      <c r="AA82" s="1"/>
    </row>
    <row r="83" spans="1:27" x14ac:dyDescent="0.3">
      <c r="A83" t="s">
        <v>17</v>
      </c>
      <c r="B83" t="s">
        <v>441</v>
      </c>
      <c r="C83" t="s">
        <v>425</v>
      </c>
      <c r="D83" t="s">
        <v>136</v>
      </c>
      <c r="E83" t="s">
        <v>427</v>
      </c>
      <c r="F83" t="s">
        <v>427</v>
      </c>
      <c r="G83" t="s">
        <v>427</v>
      </c>
      <c r="I83" t="s">
        <v>136</v>
      </c>
      <c r="L83" s="5" t="s">
        <v>136</v>
      </c>
      <c r="M83" s="1" t="s">
        <v>1</v>
      </c>
      <c r="N83" s="2">
        <v>0.374638028437002</v>
      </c>
      <c r="O83" s="1"/>
      <c r="P83" s="1"/>
      <c r="Q83" s="1"/>
      <c r="R83" s="1"/>
      <c r="S83" s="1"/>
      <c r="T83" s="1"/>
      <c r="U83" s="1">
        <v>8</v>
      </c>
      <c r="V83" s="1"/>
      <c r="W83" s="1"/>
      <c r="X83" s="1"/>
      <c r="Y83" s="1"/>
      <c r="Z83" s="1"/>
      <c r="AA83" s="1"/>
    </row>
    <row r="84" spans="1:27" x14ac:dyDescent="0.3">
      <c r="K84" s="1" t="s">
        <v>18</v>
      </c>
      <c r="L84" s="5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3">
      <c r="A85" t="s">
        <v>18</v>
      </c>
      <c r="B85" t="s">
        <v>424</v>
      </c>
      <c r="C85" t="s">
        <v>425</v>
      </c>
      <c r="D85" t="s">
        <v>137</v>
      </c>
      <c r="E85" t="s">
        <v>427</v>
      </c>
      <c r="F85" t="s">
        <v>427</v>
      </c>
      <c r="G85" t="s">
        <v>427</v>
      </c>
      <c r="I85" t="s">
        <v>137</v>
      </c>
      <c r="L85" s="5" t="s">
        <v>137</v>
      </c>
      <c r="M85" s="1" t="s">
        <v>1</v>
      </c>
      <c r="N85" s="2">
        <v>2.3900858330891599</v>
      </c>
      <c r="O85" s="1"/>
      <c r="P85" s="1"/>
      <c r="Q85" s="1"/>
      <c r="R85" s="1"/>
      <c r="S85" s="1"/>
      <c r="T85" s="1"/>
      <c r="U85" s="1">
        <v>3</v>
      </c>
      <c r="V85" s="1"/>
      <c r="W85" s="1"/>
      <c r="X85" s="1"/>
      <c r="Y85" s="1"/>
      <c r="Z85" s="1"/>
      <c r="AA85" s="1"/>
    </row>
    <row r="86" spans="1:27" x14ac:dyDescent="0.3">
      <c r="K86" s="1" t="s">
        <v>19</v>
      </c>
      <c r="L86" s="5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3">
      <c r="A87" t="s">
        <v>19</v>
      </c>
      <c r="B87" t="s">
        <v>424</v>
      </c>
      <c r="C87" t="s">
        <v>425</v>
      </c>
      <c r="D87" t="s">
        <v>138</v>
      </c>
      <c r="E87" t="s">
        <v>426</v>
      </c>
      <c r="F87" t="s">
        <v>427</v>
      </c>
      <c r="G87" t="s">
        <v>427</v>
      </c>
      <c r="I87" t="s">
        <v>138</v>
      </c>
      <c r="L87" s="5" t="s">
        <v>138</v>
      </c>
      <c r="M87" s="1" t="s">
        <v>1</v>
      </c>
      <c r="N87" s="1"/>
      <c r="O87" s="2">
        <v>0.123671043558866</v>
      </c>
      <c r="P87" s="2">
        <v>0.44385543508339897</v>
      </c>
      <c r="Q87" s="2">
        <v>17.4393343610061</v>
      </c>
      <c r="R87" s="2">
        <v>0.29741503487966497</v>
      </c>
      <c r="S87" s="2">
        <f>T87/0.5</f>
        <v>8.3918446386453002E-2</v>
      </c>
      <c r="T87" s="2">
        <v>4.1959223193226501E-2</v>
      </c>
      <c r="U87" s="1"/>
      <c r="V87" s="1">
        <v>1</v>
      </c>
      <c r="W87" s="1">
        <v>9</v>
      </c>
      <c r="X87" s="1">
        <v>96</v>
      </c>
      <c r="Y87" s="1">
        <v>8</v>
      </c>
      <c r="Z87" s="1">
        <f>AA87/0.5</f>
        <v>6</v>
      </c>
      <c r="AA87" s="1">
        <v>3</v>
      </c>
    </row>
    <row r="88" spans="1:27" x14ac:dyDescent="0.3">
      <c r="K88" s="1" t="s">
        <v>20</v>
      </c>
      <c r="L88" s="5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3">
      <c r="A89" t="s">
        <v>20</v>
      </c>
      <c r="B89" t="s">
        <v>424</v>
      </c>
      <c r="C89" t="s">
        <v>425</v>
      </c>
      <c r="D89" t="s">
        <v>139</v>
      </c>
      <c r="E89" t="s">
        <v>449</v>
      </c>
      <c r="F89" t="s">
        <v>427</v>
      </c>
      <c r="G89" t="s">
        <v>427</v>
      </c>
      <c r="I89" t="s">
        <v>139</v>
      </c>
      <c r="L89" s="5" t="s">
        <v>139</v>
      </c>
      <c r="M89" s="1" t="s">
        <v>1</v>
      </c>
      <c r="N89" s="1"/>
      <c r="O89" s="2">
        <v>3.4229054268783601E-2</v>
      </c>
      <c r="P89" s="1"/>
      <c r="Q89" s="1"/>
      <c r="R89" s="1"/>
      <c r="S89" s="1"/>
      <c r="T89" s="1"/>
      <c r="U89" s="1"/>
      <c r="V89" s="1">
        <v>1</v>
      </c>
      <c r="W89" s="1"/>
      <c r="X89" s="1"/>
      <c r="Y89" s="1"/>
      <c r="Z89" s="1"/>
      <c r="AA89" s="1"/>
    </row>
    <row r="90" spans="1:27" x14ac:dyDescent="0.3">
      <c r="K90" s="1" t="s">
        <v>21</v>
      </c>
      <c r="L90" s="5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3">
      <c r="A91" t="s">
        <v>21</v>
      </c>
      <c r="B91" t="s">
        <v>424</v>
      </c>
      <c r="C91" t="s">
        <v>425</v>
      </c>
      <c r="D91" t="s">
        <v>140</v>
      </c>
      <c r="E91" t="s">
        <v>433</v>
      </c>
      <c r="F91" t="s">
        <v>427</v>
      </c>
      <c r="G91" t="s">
        <v>427</v>
      </c>
      <c r="I91" t="s">
        <v>140</v>
      </c>
      <c r="L91" s="5" t="s">
        <v>140</v>
      </c>
      <c r="M91" s="1" t="s">
        <v>5</v>
      </c>
      <c r="N91" s="1"/>
      <c r="O91" s="1"/>
      <c r="P91" s="1"/>
      <c r="Q91" s="2">
        <v>1.1793424013406599</v>
      </c>
      <c r="R91" s="1"/>
      <c r="S91" s="1"/>
      <c r="T91" s="1"/>
      <c r="U91" s="1"/>
      <c r="V91" s="1"/>
      <c r="W91" s="1"/>
      <c r="X91" s="1">
        <v>3</v>
      </c>
      <c r="Y91" s="1"/>
      <c r="Z91" s="1"/>
      <c r="AA91" s="1"/>
    </row>
    <row r="92" spans="1:27" x14ac:dyDescent="0.3">
      <c r="K92" s="1" t="s">
        <v>22</v>
      </c>
      <c r="L92" s="5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3">
      <c r="A93" t="s">
        <v>22</v>
      </c>
      <c r="B93" t="s">
        <v>424</v>
      </c>
      <c r="C93" t="s">
        <v>425</v>
      </c>
      <c r="D93" t="s">
        <v>141</v>
      </c>
      <c r="E93" t="s">
        <v>427</v>
      </c>
      <c r="F93" t="s">
        <v>427</v>
      </c>
      <c r="G93" t="s">
        <v>427</v>
      </c>
      <c r="I93" t="s">
        <v>141</v>
      </c>
      <c r="L93" s="5" t="s">
        <v>141</v>
      </c>
      <c r="M93" s="1" t="s">
        <v>1</v>
      </c>
      <c r="N93" s="1"/>
      <c r="O93" s="2">
        <v>0.789960559967956</v>
      </c>
      <c r="P93" s="1"/>
      <c r="Q93" s="2">
        <v>7.2968294411115998E-3</v>
      </c>
      <c r="R93" s="1"/>
      <c r="S93" s="1"/>
      <c r="T93" s="1"/>
      <c r="U93" s="1"/>
      <c r="V93" s="1">
        <v>7</v>
      </c>
      <c r="W93" s="1"/>
      <c r="X93" s="1">
        <v>1</v>
      </c>
      <c r="Y93" s="1"/>
      <c r="Z93" s="1"/>
      <c r="AA93" s="1"/>
    </row>
    <row r="94" spans="1:27" x14ac:dyDescent="0.3">
      <c r="K94" s="1" t="s">
        <v>23</v>
      </c>
      <c r="L94" s="5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3">
      <c r="A95" t="s">
        <v>23</v>
      </c>
      <c r="B95" t="s">
        <v>424</v>
      </c>
      <c r="C95" t="s">
        <v>425</v>
      </c>
      <c r="D95" t="s">
        <v>142</v>
      </c>
      <c r="E95" t="s">
        <v>427</v>
      </c>
      <c r="F95" t="s">
        <v>427</v>
      </c>
      <c r="G95" t="s">
        <v>427</v>
      </c>
      <c r="I95" t="s">
        <v>142</v>
      </c>
      <c r="L95" s="5" t="s">
        <v>142</v>
      </c>
      <c r="M95" s="1" t="s">
        <v>1</v>
      </c>
      <c r="N95" s="1"/>
      <c r="O95" s="1"/>
      <c r="P95" s="1"/>
      <c r="Q95" s="1"/>
      <c r="R95" s="1"/>
      <c r="S95" s="2">
        <f>T95/0.5</f>
        <v>0.80912438434784595</v>
      </c>
      <c r="T95" s="2">
        <v>0.40456219217392297</v>
      </c>
      <c r="U95" s="1"/>
      <c r="V95" s="1"/>
      <c r="W95" s="1"/>
      <c r="X95" s="1"/>
      <c r="Y95" s="1"/>
      <c r="Z95" s="1">
        <f>AA95/0.5</f>
        <v>26</v>
      </c>
      <c r="AA95" s="1">
        <v>13</v>
      </c>
    </row>
    <row r="96" spans="1:27" x14ac:dyDescent="0.3">
      <c r="K96" s="1" t="s">
        <v>24</v>
      </c>
      <c r="L96" s="5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3">
      <c r="A97" t="s">
        <v>427</v>
      </c>
      <c r="B97" t="s">
        <v>427</v>
      </c>
      <c r="C97" t="s">
        <v>427</v>
      </c>
      <c r="D97" t="s">
        <v>427</v>
      </c>
      <c r="E97" t="s">
        <v>427</v>
      </c>
      <c r="F97" t="s">
        <v>427</v>
      </c>
      <c r="G97" t="s">
        <v>427</v>
      </c>
      <c r="H97" t="s">
        <v>437</v>
      </c>
      <c r="I97" t="s">
        <v>450</v>
      </c>
      <c r="L97" s="5" t="s">
        <v>411</v>
      </c>
      <c r="M97" s="1" t="s">
        <v>1</v>
      </c>
      <c r="N97" s="1"/>
      <c r="O97" s="2">
        <v>1.37918424419775E-2</v>
      </c>
      <c r="P97" s="1"/>
      <c r="Q97" s="1"/>
      <c r="R97" s="1"/>
      <c r="S97" s="1"/>
      <c r="T97" s="1"/>
      <c r="U97" s="1"/>
      <c r="V97" s="1">
        <v>2</v>
      </c>
      <c r="W97" s="1"/>
      <c r="X97" s="1"/>
      <c r="Y97" s="1"/>
      <c r="Z97" s="1"/>
      <c r="AA97" s="1"/>
    </row>
    <row r="98" spans="1:27" x14ac:dyDescent="0.3">
      <c r="A98" t="s">
        <v>24</v>
      </c>
      <c r="B98" t="s">
        <v>424</v>
      </c>
      <c r="C98" t="s">
        <v>425</v>
      </c>
      <c r="D98" t="s">
        <v>143</v>
      </c>
      <c r="E98" t="s">
        <v>427</v>
      </c>
      <c r="F98" t="s">
        <v>427</v>
      </c>
      <c r="G98" t="s">
        <v>427</v>
      </c>
      <c r="I98" t="s">
        <v>143</v>
      </c>
      <c r="L98" s="5" t="s">
        <v>143</v>
      </c>
      <c r="M98" s="1" t="s">
        <v>1</v>
      </c>
      <c r="N98" s="2">
        <v>9.4916453665547407E-2</v>
      </c>
      <c r="O98" s="1"/>
      <c r="P98" s="1"/>
      <c r="Q98" s="1"/>
      <c r="R98" s="1"/>
      <c r="S98" s="1"/>
      <c r="T98" s="1"/>
      <c r="U98" s="1">
        <v>2</v>
      </c>
      <c r="V98" s="1"/>
      <c r="W98" s="1"/>
      <c r="X98" s="1"/>
      <c r="Y98" s="1"/>
      <c r="Z98" s="1"/>
      <c r="AA98" s="1"/>
    </row>
    <row r="99" spans="1:27" x14ac:dyDescent="0.3">
      <c r="K99" s="1" t="s">
        <v>25</v>
      </c>
      <c r="L99" s="5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3">
      <c r="A100" t="s">
        <v>25</v>
      </c>
      <c r="B100" t="s">
        <v>424</v>
      </c>
      <c r="C100" t="s">
        <v>425</v>
      </c>
      <c r="D100" t="s">
        <v>144</v>
      </c>
      <c r="E100" t="s">
        <v>427</v>
      </c>
      <c r="F100" t="s">
        <v>427</v>
      </c>
      <c r="G100" t="s">
        <v>427</v>
      </c>
      <c r="I100" t="s">
        <v>144</v>
      </c>
      <c r="L100" s="5" t="s">
        <v>144</v>
      </c>
      <c r="M100" s="1" t="s">
        <v>1</v>
      </c>
      <c r="N100" s="1"/>
      <c r="O100" s="2">
        <v>0.56346469490927997</v>
      </c>
      <c r="P100" s="1"/>
      <c r="Q100" s="1"/>
      <c r="R100" s="1"/>
      <c r="S100" s="1"/>
      <c r="T100" s="1"/>
      <c r="U100" s="1"/>
      <c r="V100" s="1">
        <v>25</v>
      </c>
      <c r="W100" s="1"/>
      <c r="X100" s="1"/>
      <c r="Y100" s="1"/>
      <c r="Z100" s="1"/>
      <c r="AA100" s="1"/>
    </row>
    <row r="101" spans="1:27" x14ac:dyDescent="0.3">
      <c r="A101" t="s">
        <v>25</v>
      </c>
      <c r="B101" t="s">
        <v>424</v>
      </c>
      <c r="C101" t="s">
        <v>425</v>
      </c>
      <c r="D101" t="s">
        <v>145</v>
      </c>
      <c r="E101" t="s">
        <v>427</v>
      </c>
      <c r="F101" t="s">
        <v>427</v>
      </c>
      <c r="G101" t="s">
        <v>427</v>
      </c>
      <c r="I101" t="s">
        <v>145</v>
      </c>
      <c r="L101" s="5" t="s">
        <v>145</v>
      </c>
      <c r="M101" s="1" t="s">
        <v>1</v>
      </c>
      <c r="N101" s="1"/>
      <c r="O101" s="2">
        <v>9.3769375472659792E-3</v>
      </c>
      <c r="P101" s="1"/>
      <c r="Q101" s="1"/>
      <c r="R101" s="2">
        <v>4.26561282125337E-2</v>
      </c>
      <c r="S101" s="2"/>
      <c r="T101" s="1"/>
      <c r="U101" s="1"/>
      <c r="V101" s="1">
        <v>1</v>
      </c>
      <c r="W101" s="1"/>
      <c r="X101" s="1"/>
      <c r="Y101" s="1">
        <v>2</v>
      </c>
      <c r="Z101" s="1"/>
      <c r="AA101" s="1"/>
    </row>
    <row r="102" spans="1:27" x14ac:dyDescent="0.3">
      <c r="A102" t="s">
        <v>25</v>
      </c>
      <c r="B102" t="s">
        <v>424</v>
      </c>
      <c r="C102" t="s">
        <v>425</v>
      </c>
      <c r="D102" t="s">
        <v>146</v>
      </c>
      <c r="E102" t="s">
        <v>427</v>
      </c>
      <c r="F102" t="s">
        <v>427</v>
      </c>
      <c r="G102" t="s">
        <v>427</v>
      </c>
      <c r="I102" t="s">
        <v>146</v>
      </c>
      <c r="L102" s="5" t="s">
        <v>146</v>
      </c>
      <c r="M102" s="1" t="s">
        <v>1</v>
      </c>
      <c r="N102" s="1"/>
      <c r="O102" s="2">
        <v>0.57609713770174198</v>
      </c>
      <c r="P102" s="1"/>
      <c r="Q102" s="1"/>
      <c r="R102" s="2">
        <v>3.7529667869018998E-2</v>
      </c>
      <c r="S102" s="2"/>
      <c r="T102" s="1"/>
      <c r="U102" s="1"/>
      <c r="V102" s="1">
        <v>5</v>
      </c>
      <c r="W102" s="1"/>
      <c r="X102" s="1"/>
      <c r="Y102" s="1">
        <v>3</v>
      </c>
      <c r="Z102" s="1"/>
      <c r="AA102" s="1"/>
    </row>
    <row r="103" spans="1:27" x14ac:dyDescent="0.3">
      <c r="A103" t="s">
        <v>25</v>
      </c>
      <c r="B103" t="s">
        <v>424</v>
      </c>
      <c r="C103" t="s">
        <v>425</v>
      </c>
      <c r="D103" t="s">
        <v>147</v>
      </c>
      <c r="E103" t="s">
        <v>427</v>
      </c>
      <c r="F103" t="s">
        <v>427</v>
      </c>
      <c r="G103" t="s">
        <v>427</v>
      </c>
      <c r="I103" t="s">
        <v>147</v>
      </c>
      <c r="L103" s="5" t="s">
        <v>147</v>
      </c>
      <c r="M103" s="1" t="s">
        <v>1</v>
      </c>
      <c r="N103" s="1"/>
      <c r="O103" s="2">
        <v>2.16441137644405</v>
      </c>
      <c r="P103" s="1"/>
      <c r="Q103" s="1"/>
      <c r="R103" s="1"/>
      <c r="S103" s="1"/>
      <c r="T103" s="1"/>
      <c r="U103" s="1"/>
      <c r="V103" s="1">
        <v>13</v>
      </c>
      <c r="W103" s="1"/>
      <c r="X103" s="1"/>
      <c r="Y103" s="1"/>
      <c r="Z103" s="1"/>
      <c r="AA103" s="1"/>
    </row>
    <row r="104" spans="1:27" x14ac:dyDescent="0.3">
      <c r="A104" t="s">
        <v>25</v>
      </c>
      <c r="B104" t="s">
        <v>424</v>
      </c>
      <c r="C104" t="s">
        <v>425</v>
      </c>
      <c r="D104" t="s">
        <v>148</v>
      </c>
      <c r="E104" t="s">
        <v>427</v>
      </c>
      <c r="F104" t="s">
        <v>427</v>
      </c>
      <c r="G104" t="s">
        <v>427</v>
      </c>
      <c r="I104" t="s">
        <v>148</v>
      </c>
      <c r="L104" s="5" t="s">
        <v>148</v>
      </c>
      <c r="M104" s="1" t="s">
        <v>1</v>
      </c>
      <c r="N104" s="1"/>
      <c r="O104" s="1"/>
      <c r="P104" s="1"/>
      <c r="Q104" s="2">
        <v>3.5611509106759302E-2</v>
      </c>
      <c r="R104" s="1"/>
      <c r="S104" s="1"/>
      <c r="T104" s="1"/>
      <c r="U104" s="1"/>
      <c r="V104" s="1"/>
      <c r="W104" s="1"/>
      <c r="X104" s="1">
        <v>1</v>
      </c>
      <c r="Y104" s="1"/>
      <c r="Z104" s="1"/>
      <c r="AA104" s="1"/>
    </row>
    <row r="105" spans="1:27" x14ac:dyDescent="0.3">
      <c r="A105" t="s">
        <v>25</v>
      </c>
      <c r="B105" t="s">
        <v>441</v>
      </c>
      <c r="C105" t="s">
        <v>425</v>
      </c>
      <c r="D105" t="s">
        <v>149</v>
      </c>
      <c r="E105" t="s">
        <v>427</v>
      </c>
      <c r="F105" t="s">
        <v>427</v>
      </c>
      <c r="G105" t="s">
        <v>427</v>
      </c>
      <c r="I105" t="s">
        <v>149</v>
      </c>
      <c r="L105" s="5" t="s">
        <v>149</v>
      </c>
      <c r="M105" s="1" t="s">
        <v>1</v>
      </c>
      <c r="N105" s="2">
        <v>0.54020291929188002</v>
      </c>
      <c r="O105" s="1"/>
      <c r="P105" s="1"/>
      <c r="Q105" s="1"/>
      <c r="R105" s="1"/>
      <c r="S105" s="1"/>
      <c r="T105" s="1"/>
      <c r="U105" s="1">
        <v>1</v>
      </c>
      <c r="V105" s="1"/>
      <c r="W105" s="1"/>
      <c r="X105" s="1"/>
      <c r="Y105" s="1"/>
      <c r="Z105" s="1"/>
      <c r="AA105" s="1"/>
    </row>
    <row r="106" spans="1:27" x14ac:dyDescent="0.3">
      <c r="A106" t="s">
        <v>25</v>
      </c>
      <c r="B106" t="s">
        <v>424</v>
      </c>
      <c r="C106" t="s">
        <v>425</v>
      </c>
      <c r="D106" t="s">
        <v>150</v>
      </c>
      <c r="E106" t="s">
        <v>427</v>
      </c>
      <c r="F106" t="s">
        <v>427</v>
      </c>
      <c r="G106" t="s">
        <v>427</v>
      </c>
      <c r="I106" t="s">
        <v>150</v>
      </c>
      <c r="L106" s="5" t="s">
        <v>150</v>
      </c>
      <c r="M106" s="1" t="s">
        <v>1</v>
      </c>
      <c r="N106" s="2">
        <v>2.0915501405571799</v>
      </c>
      <c r="O106" s="1"/>
      <c r="P106" s="1"/>
      <c r="Q106" s="1"/>
      <c r="R106" s="2">
        <v>1.3020031634747899</v>
      </c>
      <c r="S106" s="2"/>
      <c r="T106" s="1"/>
      <c r="U106" s="1">
        <v>17</v>
      </c>
      <c r="V106" s="1"/>
      <c r="W106" s="1"/>
      <c r="X106" s="1"/>
      <c r="Y106" s="1">
        <v>18</v>
      </c>
      <c r="Z106" s="1"/>
      <c r="AA106" s="1"/>
    </row>
    <row r="107" spans="1:27" x14ac:dyDescent="0.3">
      <c r="A107" t="s">
        <v>25</v>
      </c>
      <c r="B107" t="s">
        <v>424</v>
      </c>
      <c r="C107" t="s">
        <v>425</v>
      </c>
      <c r="D107" t="s">
        <v>151</v>
      </c>
      <c r="E107" t="s">
        <v>427</v>
      </c>
      <c r="F107" t="s">
        <v>427</v>
      </c>
      <c r="G107" t="s">
        <v>427</v>
      </c>
      <c r="I107" t="s">
        <v>151</v>
      </c>
      <c r="L107" s="5" t="s">
        <v>151</v>
      </c>
      <c r="M107" s="1" t="s">
        <v>1</v>
      </c>
      <c r="N107" s="1"/>
      <c r="O107" s="1"/>
      <c r="P107" s="1"/>
      <c r="Q107" s="1"/>
      <c r="R107" s="2">
        <v>2.2320748599487299</v>
      </c>
      <c r="S107" s="2"/>
      <c r="T107" s="1"/>
      <c r="U107" s="1"/>
      <c r="V107" s="1"/>
      <c r="W107" s="1"/>
      <c r="X107" s="1"/>
      <c r="Y107" s="1">
        <v>24</v>
      </c>
      <c r="Z107" s="1"/>
      <c r="AA107" s="1"/>
    </row>
    <row r="108" spans="1:27" x14ac:dyDescent="0.3">
      <c r="A108" t="s">
        <v>25</v>
      </c>
      <c r="B108" t="s">
        <v>424</v>
      </c>
      <c r="C108" t="s">
        <v>425</v>
      </c>
      <c r="D108" t="s">
        <v>451</v>
      </c>
      <c r="E108" t="s">
        <v>427</v>
      </c>
      <c r="F108" t="s">
        <v>427</v>
      </c>
      <c r="G108" t="s">
        <v>427</v>
      </c>
      <c r="H108" t="s">
        <v>432</v>
      </c>
      <c r="I108" t="s">
        <v>152</v>
      </c>
      <c r="L108" s="5" t="s">
        <v>152</v>
      </c>
      <c r="M108" s="1" t="s">
        <v>1</v>
      </c>
      <c r="N108" s="2">
        <v>2.2744358685995201E-2</v>
      </c>
      <c r="O108" s="2">
        <v>1.8557770939306</v>
      </c>
      <c r="P108" s="1"/>
      <c r="Q108" s="1"/>
      <c r="R108" s="1"/>
      <c r="S108" s="1"/>
      <c r="T108" s="1"/>
      <c r="U108" s="1">
        <v>2</v>
      </c>
      <c r="V108" s="1">
        <v>20</v>
      </c>
      <c r="W108" s="1"/>
      <c r="X108" s="1"/>
      <c r="Y108" s="1"/>
      <c r="Z108" s="1"/>
      <c r="AA108" s="1"/>
    </row>
    <row r="109" spans="1:27" x14ac:dyDescent="0.3">
      <c r="A109" t="s">
        <v>25</v>
      </c>
      <c r="B109" t="s">
        <v>424</v>
      </c>
      <c r="C109" t="s">
        <v>425</v>
      </c>
      <c r="D109" t="s">
        <v>153</v>
      </c>
      <c r="E109" t="s">
        <v>426</v>
      </c>
      <c r="F109" t="s">
        <v>427</v>
      </c>
      <c r="G109" t="s">
        <v>427</v>
      </c>
      <c r="I109" t="s">
        <v>153</v>
      </c>
      <c r="L109" s="5" t="s">
        <v>153</v>
      </c>
      <c r="M109" s="1" t="s">
        <v>1</v>
      </c>
      <c r="N109" s="1"/>
      <c r="O109" s="2">
        <v>0.13193501128624299</v>
      </c>
      <c r="P109" s="1"/>
      <c r="Q109" s="1"/>
      <c r="R109" s="1"/>
      <c r="S109" s="1"/>
      <c r="T109" s="1"/>
      <c r="U109" s="1"/>
      <c r="V109" s="1">
        <v>7</v>
      </c>
      <c r="W109" s="1"/>
      <c r="X109" s="1"/>
      <c r="Y109" s="1"/>
      <c r="Z109" s="1"/>
      <c r="AA109" s="1"/>
    </row>
    <row r="110" spans="1:27" x14ac:dyDescent="0.3">
      <c r="K110" s="1" t="s">
        <v>26</v>
      </c>
      <c r="L110" s="5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3">
      <c r="A111" t="s">
        <v>26</v>
      </c>
      <c r="B111" t="s">
        <v>424</v>
      </c>
      <c r="C111" t="s">
        <v>425</v>
      </c>
      <c r="D111" t="s">
        <v>452</v>
      </c>
      <c r="E111" t="s">
        <v>427</v>
      </c>
      <c r="F111" t="s">
        <v>427</v>
      </c>
      <c r="G111" t="s">
        <v>427</v>
      </c>
      <c r="H111" t="s">
        <v>432</v>
      </c>
      <c r="I111" t="s">
        <v>154</v>
      </c>
      <c r="L111" s="5" t="s">
        <v>154</v>
      </c>
      <c r="M111" s="1" t="s">
        <v>1</v>
      </c>
      <c r="N111" s="1"/>
      <c r="O111" s="2">
        <v>1.18505390530784E-2</v>
      </c>
      <c r="P111" s="1"/>
      <c r="Q111" s="1"/>
      <c r="R111" s="1"/>
      <c r="S111" s="1"/>
      <c r="T111" s="1"/>
      <c r="U111" s="1"/>
      <c r="V111" s="1">
        <v>1</v>
      </c>
      <c r="W111" s="1"/>
      <c r="X111" s="1"/>
      <c r="Y111" s="1"/>
      <c r="Z111" s="1"/>
      <c r="AA111" s="1"/>
    </row>
    <row r="112" spans="1:27" x14ac:dyDescent="0.3">
      <c r="A112" t="s">
        <v>26</v>
      </c>
      <c r="B112" t="s">
        <v>441</v>
      </c>
      <c r="C112" t="s">
        <v>425</v>
      </c>
      <c r="D112" t="s">
        <v>155</v>
      </c>
      <c r="E112" t="s">
        <v>427</v>
      </c>
      <c r="F112" t="s">
        <v>427</v>
      </c>
      <c r="G112" t="s">
        <v>427</v>
      </c>
      <c r="I112" t="s">
        <v>155</v>
      </c>
      <c r="L112" s="5" t="s">
        <v>155</v>
      </c>
      <c r="M112" s="1" t="s">
        <v>1</v>
      </c>
      <c r="N112" s="2">
        <v>0.55163548476090696</v>
      </c>
      <c r="O112" s="1"/>
      <c r="P112" s="1"/>
      <c r="Q112" s="1"/>
      <c r="R112" s="1"/>
      <c r="S112" s="1"/>
      <c r="T112" s="1"/>
      <c r="U112" s="1">
        <v>6</v>
      </c>
      <c r="V112" s="1"/>
      <c r="W112" s="1"/>
      <c r="X112" s="1"/>
      <c r="Y112" s="1"/>
      <c r="Z112" s="1"/>
      <c r="AA112" s="1"/>
    </row>
    <row r="113" spans="1:27" x14ac:dyDescent="0.3">
      <c r="A113" t="s">
        <v>26</v>
      </c>
      <c r="B113" t="s">
        <v>424</v>
      </c>
      <c r="C113" t="s">
        <v>425</v>
      </c>
      <c r="D113" t="s">
        <v>156</v>
      </c>
      <c r="E113" t="s">
        <v>427</v>
      </c>
      <c r="F113" t="s">
        <v>427</v>
      </c>
      <c r="G113" t="s">
        <v>427</v>
      </c>
      <c r="I113" t="s">
        <v>156</v>
      </c>
      <c r="L113" s="5" t="s">
        <v>156</v>
      </c>
      <c r="M113" s="1" t="s">
        <v>1</v>
      </c>
      <c r="N113" s="2">
        <v>1.4724617803925899</v>
      </c>
      <c r="O113" s="2">
        <v>0.993287868956787</v>
      </c>
      <c r="P113" s="1"/>
      <c r="Q113" s="1"/>
      <c r="R113" s="1"/>
      <c r="S113" s="1"/>
      <c r="T113" s="1"/>
      <c r="U113" s="1">
        <v>6</v>
      </c>
      <c r="V113" s="1">
        <v>1</v>
      </c>
      <c r="W113" s="1"/>
      <c r="X113" s="1"/>
      <c r="Y113" s="1"/>
      <c r="Z113" s="1"/>
      <c r="AA113" s="1"/>
    </row>
    <row r="114" spans="1:27" x14ac:dyDescent="0.3">
      <c r="A114" t="s">
        <v>26</v>
      </c>
      <c r="B114" t="s">
        <v>424</v>
      </c>
      <c r="C114" t="s">
        <v>425</v>
      </c>
      <c r="D114" t="s">
        <v>157</v>
      </c>
      <c r="E114" t="s">
        <v>427</v>
      </c>
      <c r="F114" t="s">
        <v>427</v>
      </c>
      <c r="G114" t="s">
        <v>427</v>
      </c>
      <c r="I114" t="s">
        <v>157</v>
      </c>
      <c r="L114" s="5" t="s">
        <v>157</v>
      </c>
      <c r="M114" s="1" t="s">
        <v>1</v>
      </c>
      <c r="N114" s="2">
        <v>0.513690819313113</v>
      </c>
      <c r="O114" s="2">
        <v>0.76412770710464595</v>
      </c>
      <c r="P114" s="1"/>
      <c r="Q114" s="1"/>
      <c r="R114" s="1"/>
      <c r="S114" s="1"/>
      <c r="T114" s="1"/>
      <c r="U114" s="1">
        <v>2</v>
      </c>
      <c r="V114" s="1">
        <v>3</v>
      </c>
      <c r="W114" s="1"/>
      <c r="X114" s="1"/>
      <c r="Y114" s="1"/>
      <c r="Z114" s="1"/>
      <c r="AA114" s="1"/>
    </row>
    <row r="115" spans="1:27" x14ac:dyDescent="0.3">
      <c r="A115" t="s">
        <v>26</v>
      </c>
      <c r="B115" t="s">
        <v>424</v>
      </c>
      <c r="C115" t="s">
        <v>425</v>
      </c>
      <c r="D115" t="s">
        <v>158</v>
      </c>
      <c r="E115" t="s">
        <v>427</v>
      </c>
      <c r="F115" t="s">
        <v>427</v>
      </c>
      <c r="G115" t="s">
        <v>427</v>
      </c>
      <c r="I115" t="s">
        <v>158</v>
      </c>
      <c r="L115" s="5" t="s">
        <v>158</v>
      </c>
      <c r="M115" s="1" t="s">
        <v>1</v>
      </c>
      <c r="N115" s="1"/>
      <c r="O115" s="2">
        <v>1.00171661281126</v>
      </c>
      <c r="P115" s="1"/>
      <c r="Q115" s="1"/>
      <c r="R115" s="1"/>
      <c r="S115" s="1"/>
      <c r="T115" s="1"/>
      <c r="U115" s="1"/>
      <c r="V115" s="1">
        <v>21</v>
      </c>
      <c r="W115" s="1"/>
      <c r="X115" s="1"/>
      <c r="Y115" s="1"/>
      <c r="Z115" s="1"/>
      <c r="AA115" s="1"/>
    </row>
    <row r="116" spans="1:27" x14ac:dyDescent="0.3">
      <c r="A116" t="s">
        <v>26</v>
      </c>
      <c r="B116" t="s">
        <v>424</v>
      </c>
      <c r="C116" t="s">
        <v>425</v>
      </c>
      <c r="D116" t="s">
        <v>159</v>
      </c>
      <c r="E116" t="s">
        <v>427</v>
      </c>
      <c r="F116" t="s">
        <v>427</v>
      </c>
      <c r="G116" t="s">
        <v>427</v>
      </c>
      <c r="I116" t="s">
        <v>159</v>
      </c>
      <c r="L116" s="5" t="s">
        <v>159</v>
      </c>
      <c r="M116" s="1" t="s">
        <v>1</v>
      </c>
      <c r="N116" s="2">
        <v>2.6860864270085201</v>
      </c>
      <c r="O116" s="1"/>
      <c r="P116" s="1"/>
      <c r="Q116" s="1"/>
      <c r="R116" s="2">
        <v>3.2883744177518799</v>
      </c>
      <c r="S116" s="2"/>
      <c r="T116" s="1"/>
      <c r="U116" s="1">
        <v>5</v>
      </c>
      <c r="V116" s="1"/>
      <c r="W116" s="1"/>
      <c r="X116" s="1"/>
      <c r="Y116" s="1">
        <v>28</v>
      </c>
      <c r="Z116" s="1"/>
      <c r="AA116" s="1"/>
    </row>
    <row r="117" spans="1:27" x14ac:dyDescent="0.3">
      <c r="A117" t="s">
        <v>427</v>
      </c>
      <c r="B117" t="s">
        <v>427</v>
      </c>
      <c r="C117" t="s">
        <v>427</v>
      </c>
      <c r="D117" t="s">
        <v>427</v>
      </c>
      <c r="E117" t="s">
        <v>427</v>
      </c>
      <c r="F117" t="s">
        <v>427</v>
      </c>
      <c r="G117" t="s">
        <v>427</v>
      </c>
      <c r="H117" t="s">
        <v>437</v>
      </c>
      <c r="I117" t="s">
        <v>160</v>
      </c>
      <c r="L117" s="5" t="s">
        <v>160</v>
      </c>
      <c r="M117" s="1" t="s">
        <v>1</v>
      </c>
      <c r="N117" s="1"/>
      <c r="O117" s="1"/>
      <c r="P117" s="1"/>
      <c r="Q117" s="1"/>
      <c r="R117" s="2">
        <v>7.1497485573904701E-2</v>
      </c>
      <c r="S117" s="2"/>
      <c r="T117" s="1"/>
      <c r="U117" s="1"/>
      <c r="V117" s="1"/>
      <c r="W117" s="1"/>
      <c r="X117" s="1"/>
      <c r="Y117" s="1">
        <v>3</v>
      </c>
      <c r="Z117" s="1"/>
      <c r="AA117" s="1"/>
    </row>
    <row r="118" spans="1:27" x14ac:dyDescent="0.3">
      <c r="A118" t="s">
        <v>26</v>
      </c>
      <c r="B118" t="s">
        <v>441</v>
      </c>
      <c r="C118" t="s">
        <v>425</v>
      </c>
      <c r="D118" t="s">
        <v>161</v>
      </c>
      <c r="E118" t="s">
        <v>427</v>
      </c>
      <c r="F118" t="s">
        <v>427</v>
      </c>
      <c r="G118" t="s">
        <v>427</v>
      </c>
      <c r="I118" t="s">
        <v>161</v>
      </c>
      <c r="L118" s="5" t="s">
        <v>161</v>
      </c>
      <c r="M118" s="1" t="s">
        <v>1</v>
      </c>
      <c r="N118" s="2">
        <v>0.192782922551478</v>
      </c>
      <c r="O118" s="1"/>
      <c r="P118" s="1"/>
      <c r="Q118" s="1"/>
      <c r="R118" s="1"/>
      <c r="S118" s="1"/>
      <c r="T118" s="1"/>
      <c r="U118" s="1">
        <v>2</v>
      </c>
      <c r="V118" s="1"/>
      <c r="W118" s="1"/>
      <c r="X118" s="1"/>
      <c r="Y118" s="1"/>
      <c r="Z118" s="1"/>
      <c r="AA118" s="1"/>
    </row>
    <row r="119" spans="1:27" x14ac:dyDescent="0.3">
      <c r="A119" t="s">
        <v>26</v>
      </c>
      <c r="B119" t="s">
        <v>424</v>
      </c>
      <c r="C119" t="s">
        <v>425</v>
      </c>
      <c r="D119" t="s">
        <v>162</v>
      </c>
      <c r="E119" t="s">
        <v>427</v>
      </c>
      <c r="F119" t="s">
        <v>427</v>
      </c>
      <c r="G119" t="s">
        <v>427</v>
      </c>
      <c r="I119" t="s">
        <v>162</v>
      </c>
      <c r="L119" s="5" t="s">
        <v>162</v>
      </c>
      <c r="M119" s="1" t="s">
        <v>1</v>
      </c>
      <c r="N119" s="2">
        <v>0.63402537732439501</v>
      </c>
      <c r="O119" s="1"/>
      <c r="P119" s="1"/>
      <c r="Q119" s="1"/>
      <c r="R119" s="1"/>
      <c r="S119" s="1"/>
      <c r="T119" s="1"/>
      <c r="U119" s="1">
        <v>7</v>
      </c>
      <c r="V119" s="1"/>
      <c r="W119" s="1"/>
      <c r="X119" s="1"/>
      <c r="Y119" s="1"/>
      <c r="Z119" s="1"/>
      <c r="AA119" s="1"/>
    </row>
    <row r="120" spans="1:27" x14ac:dyDescent="0.3">
      <c r="A120" t="s">
        <v>26</v>
      </c>
      <c r="B120" t="s">
        <v>424</v>
      </c>
      <c r="C120" t="s">
        <v>425</v>
      </c>
      <c r="D120" t="s">
        <v>163</v>
      </c>
      <c r="E120" t="s">
        <v>427</v>
      </c>
      <c r="F120" t="s">
        <v>427</v>
      </c>
      <c r="G120" t="s">
        <v>427</v>
      </c>
      <c r="I120" t="s">
        <v>163</v>
      </c>
      <c r="L120" s="5" t="s">
        <v>163</v>
      </c>
      <c r="M120" s="1" t="s">
        <v>1</v>
      </c>
      <c r="N120" s="2">
        <v>7.9432190194347399E-2</v>
      </c>
      <c r="O120" s="2">
        <v>1.7296868007556401</v>
      </c>
      <c r="P120" s="1"/>
      <c r="Q120" s="1"/>
      <c r="R120" s="1"/>
      <c r="S120" s="1"/>
      <c r="T120" s="1"/>
      <c r="U120" s="1">
        <v>2</v>
      </c>
      <c r="V120" s="1">
        <v>19</v>
      </c>
      <c r="W120" s="1"/>
      <c r="X120" s="1"/>
      <c r="Y120" s="1"/>
      <c r="Z120" s="1"/>
      <c r="AA120" s="1"/>
    </row>
    <row r="121" spans="1:27" x14ac:dyDescent="0.3">
      <c r="A121" t="s">
        <v>26</v>
      </c>
      <c r="B121" t="s">
        <v>424</v>
      </c>
      <c r="C121" t="s">
        <v>427</v>
      </c>
      <c r="D121" t="s">
        <v>164</v>
      </c>
      <c r="E121" t="s">
        <v>427</v>
      </c>
      <c r="F121" t="s">
        <v>427</v>
      </c>
      <c r="G121" t="s">
        <v>427</v>
      </c>
      <c r="H121" t="s">
        <v>453</v>
      </c>
      <c r="I121" t="s">
        <v>164</v>
      </c>
      <c r="L121" s="5" t="s">
        <v>164</v>
      </c>
      <c r="M121" s="1" t="s">
        <v>1</v>
      </c>
      <c r="N121" s="1"/>
      <c r="O121" s="2">
        <v>7.9969464498718196E-2</v>
      </c>
      <c r="P121" s="1"/>
      <c r="Q121" s="1"/>
      <c r="R121" s="1"/>
      <c r="S121" s="1"/>
      <c r="T121" s="1"/>
      <c r="U121" s="1"/>
      <c r="V121" s="1">
        <v>2</v>
      </c>
      <c r="W121" s="1"/>
      <c r="X121" s="1"/>
      <c r="Y121" s="1"/>
      <c r="Z121" s="1"/>
      <c r="AA121" s="1"/>
    </row>
    <row r="122" spans="1:27" x14ac:dyDescent="0.3">
      <c r="A122" t="s">
        <v>26</v>
      </c>
      <c r="B122" t="s">
        <v>424</v>
      </c>
      <c r="C122" t="s">
        <v>425</v>
      </c>
      <c r="D122" t="s">
        <v>454</v>
      </c>
      <c r="E122" t="s">
        <v>427</v>
      </c>
      <c r="F122" t="s">
        <v>427</v>
      </c>
      <c r="G122" t="s">
        <v>427</v>
      </c>
      <c r="H122" t="s">
        <v>436</v>
      </c>
      <c r="I122" t="s">
        <v>165</v>
      </c>
      <c r="L122" s="5" t="s">
        <v>165</v>
      </c>
      <c r="M122" s="1" t="s">
        <v>1</v>
      </c>
      <c r="N122" s="1"/>
      <c r="O122" s="1"/>
      <c r="P122" s="1"/>
      <c r="Q122" s="1"/>
      <c r="R122" s="2">
        <v>5.8044019810747898E-3</v>
      </c>
      <c r="S122" s="2"/>
      <c r="T122" s="1"/>
      <c r="U122" s="1"/>
      <c r="V122" s="1"/>
      <c r="W122" s="1"/>
      <c r="X122" s="1"/>
      <c r="Y122" s="1">
        <v>1</v>
      </c>
      <c r="Z122" s="1"/>
      <c r="AA122" s="1"/>
    </row>
    <row r="123" spans="1:27" x14ac:dyDescent="0.3">
      <c r="A123" t="s">
        <v>26</v>
      </c>
      <c r="B123" t="s">
        <v>424</v>
      </c>
      <c r="C123" t="s">
        <v>425</v>
      </c>
      <c r="D123" t="s">
        <v>166</v>
      </c>
      <c r="E123" t="s">
        <v>427</v>
      </c>
      <c r="F123" t="s">
        <v>427</v>
      </c>
      <c r="G123" t="s">
        <v>427</v>
      </c>
      <c r="I123" t="s">
        <v>166</v>
      </c>
      <c r="L123" s="5" t="s">
        <v>166</v>
      </c>
      <c r="M123" s="1" t="s">
        <v>1</v>
      </c>
      <c r="N123" s="1"/>
      <c r="O123" s="2">
        <v>0.28183732397796402</v>
      </c>
      <c r="P123" s="1"/>
      <c r="Q123" s="1"/>
      <c r="R123" s="1"/>
      <c r="S123" s="1"/>
      <c r="T123" s="1"/>
      <c r="U123" s="1"/>
      <c r="V123" s="1">
        <v>10</v>
      </c>
      <c r="W123" s="1"/>
      <c r="X123" s="1"/>
      <c r="Y123" s="1"/>
      <c r="Z123" s="1"/>
      <c r="AA123" s="1"/>
    </row>
    <row r="124" spans="1:27" x14ac:dyDescent="0.3">
      <c r="A124" t="s">
        <v>26</v>
      </c>
      <c r="B124" t="s">
        <v>424</v>
      </c>
      <c r="C124" t="s">
        <v>425</v>
      </c>
      <c r="D124" t="s">
        <v>167</v>
      </c>
      <c r="E124" t="s">
        <v>427</v>
      </c>
      <c r="F124" t="s">
        <v>427</v>
      </c>
      <c r="G124" t="s">
        <v>427</v>
      </c>
      <c r="I124" t="s">
        <v>167</v>
      </c>
      <c r="L124" s="5" t="s">
        <v>167</v>
      </c>
      <c r="M124" s="1" t="s">
        <v>1</v>
      </c>
      <c r="N124" s="1"/>
      <c r="O124" s="2">
        <v>2.3089505779695398E-2</v>
      </c>
      <c r="P124" s="1"/>
      <c r="Q124" s="1"/>
      <c r="R124" s="1"/>
      <c r="S124" s="1"/>
      <c r="T124" s="1"/>
      <c r="U124" s="1"/>
      <c r="V124" s="1">
        <v>2</v>
      </c>
      <c r="W124" s="1"/>
      <c r="X124" s="1"/>
      <c r="Y124" s="1"/>
      <c r="Z124" s="1"/>
      <c r="AA124" s="1"/>
    </row>
    <row r="125" spans="1:27" x14ac:dyDescent="0.3">
      <c r="A125" t="s">
        <v>26</v>
      </c>
      <c r="B125" t="s">
        <v>424</v>
      </c>
      <c r="C125" t="s">
        <v>425</v>
      </c>
      <c r="D125" t="s">
        <v>168</v>
      </c>
      <c r="E125" t="s">
        <v>427</v>
      </c>
      <c r="F125" t="s">
        <v>427</v>
      </c>
      <c r="G125" t="s">
        <v>427</v>
      </c>
      <c r="I125" t="s">
        <v>168</v>
      </c>
      <c r="L125" s="5" t="s">
        <v>168</v>
      </c>
      <c r="M125" s="1" t="s">
        <v>1</v>
      </c>
      <c r="N125" s="1"/>
      <c r="O125" s="2">
        <v>1.7172058419329701</v>
      </c>
      <c r="P125" s="1"/>
      <c r="Q125" s="1"/>
      <c r="R125" s="1"/>
      <c r="S125" s="1"/>
      <c r="T125" s="1"/>
      <c r="U125" s="1"/>
      <c r="V125" s="1">
        <v>18</v>
      </c>
      <c r="W125" s="1"/>
      <c r="X125" s="1"/>
      <c r="Y125" s="1"/>
      <c r="Z125" s="1"/>
      <c r="AA125" s="1"/>
    </row>
    <row r="126" spans="1:27" x14ac:dyDescent="0.3">
      <c r="A126" t="s">
        <v>26</v>
      </c>
      <c r="B126" t="s">
        <v>424</v>
      </c>
      <c r="C126" t="s">
        <v>425</v>
      </c>
      <c r="D126" t="s">
        <v>169</v>
      </c>
      <c r="E126" t="s">
        <v>427</v>
      </c>
      <c r="F126" t="s">
        <v>427</v>
      </c>
      <c r="G126" t="s">
        <v>427</v>
      </c>
      <c r="I126" t="s">
        <v>169</v>
      </c>
      <c r="L126" s="5" t="s">
        <v>169</v>
      </c>
      <c r="M126" s="1" t="s">
        <v>1</v>
      </c>
      <c r="N126" s="1"/>
      <c r="O126" s="1"/>
      <c r="P126" s="1"/>
      <c r="Q126" s="1"/>
      <c r="R126" s="2">
        <v>8.7957108418650204E-3</v>
      </c>
      <c r="S126" s="2"/>
      <c r="T126" s="1"/>
      <c r="U126" s="1"/>
      <c r="V126" s="1"/>
      <c r="W126" s="1"/>
      <c r="X126" s="1"/>
      <c r="Y126" s="1">
        <v>1</v>
      </c>
      <c r="Z126" s="1"/>
      <c r="AA126" s="1"/>
    </row>
    <row r="127" spans="1:27" x14ac:dyDescent="0.3">
      <c r="A127" t="s">
        <v>26</v>
      </c>
      <c r="B127" t="s">
        <v>424</v>
      </c>
      <c r="C127" t="s">
        <v>425</v>
      </c>
      <c r="D127" t="s">
        <v>455</v>
      </c>
      <c r="E127" t="s">
        <v>427</v>
      </c>
      <c r="F127" t="s">
        <v>427</v>
      </c>
      <c r="G127" t="s">
        <v>427</v>
      </c>
      <c r="H127" t="s">
        <v>432</v>
      </c>
      <c r="I127" t="s">
        <v>170</v>
      </c>
      <c r="L127" s="5" t="s">
        <v>170</v>
      </c>
      <c r="M127" s="1" t="s">
        <v>1</v>
      </c>
      <c r="N127" s="2">
        <v>0.98338833266349501</v>
      </c>
      <c r="O127" s="1"/>
      <c r="P127" s="1"/>
      <c r="Q127" s="1"/>
      <c r="R127" s="1"/>
      <c r="S127" s="1"/>
      <c r="T127" s="1"/>
      <c r="U127" s="1">
        <v>5</v>
      </c>
      <c r="V127" s="1"/>
      <c r="W127" s="1"/>
      <c r="X127" s="1"/>
      <c r="Y127" s="1"/>
      <c r="Z127" s="1"/>
      <c r="AA127" s="1"/>
    </row>
    <row r="128" spans="1:27" x14ac:dyDescent="0.3">
      <c r="A128" t="s">
        <v>26</v>
      </c>
      <c r="B128" t="s">
        <v>424</v>
      </c>
      <c r="C128" t="s">
        <v>425</v>
      </c>
      <c r="D128" t="s">
        <v>171</v>
      </c>
      <c r="E128" t="s">
        <v>427</v>
      </c>
      <c r="F128" t="s">
        <v>427</v>
      </c>
      <c r="G128" t="s">
        <v>427</v>
      </c>
      <c r="I128" t="s">
        <v>171</v>
      </c>
      <c r="L128" s="5" t="s">
        <v>171</v>
      </c>
      <c r="M128" s="1" t="s">
        <v>1</v>
      </c>
      <c r="N128" s="2">
        <v>9.8721896678847398E-2</v>
      </c>
      <c r="O128" s="1"/>
      <c r="P128" s="1"/>
      <c r="Q128" s="1"/>
      <c r="R128" s="1"/>
      <c r="S128" s="1"/>
      <c r="T128" s="1"/>
      <c r="U128" s="1">
        <v>5</v>
      </c>
      <c r="V128" s="1"/>
      <c r="W128" s="1"/>
      <c r="X128" s="1"/>
      <c r="Y128" s="1"/>
      <c r="Z128" s="1"/>
      <c r="AA128" s="1"/>
    </row>
    <row r="129" spans="1:27" x14ac:dyDescent="0.3">
      <c r="A129" t="s">
        <v>26</v>
      </c>
      <c r="B129" t="s">
        <v>424</v>
      </c>
      <c r="C129" t="s">
        <v>425</v>
      </c>
      <c r="D129" t="s">
        <v>172</v>
      </c>
      <c r="E129" t="s">
        <v>427</v>
      </c>
      <c r="F129" t="s">
        <v>427</v>
      </c>
      <c r="G129" t="s">
        <v>427</v>
      </c>
      <c r="I129" t="s">
        <v>172</v>
      </c>
      <c r="L129" s="5" t="s">
        <v>172</v>
      </c>
      <c r="M129" s="1" t="s">
        <v>1</v>
      </c>
      <c r="N129" s="2">
        <v>1.39247743783024</v>
      </c>
      <c r="O129" s="1"/>
      <c r="P129" s="1"/>
      <c r="Q129" s="1"/>
      <c r="R129" s="1"/>
      <c r="S129" s="1"/>
      <c r="T129" s="1"/>
      <c r="U129" s="1">
        <v>12</v>
      </c>
      <c r="V129" s="1"/>
      <c r="W129" s="1"/>
      <c r="X129" s="1"/>
      <c r="Y129" s="1"/>
      <c r="Z129" s="1"/>
      <c r="AA129" s="1"/>
    </row>
    <row r="130" spans="1:27" x14ac:dyDescent="0.3">
      <c r="A130" t="s">
        <v>26</v>
      </c>
      <c r="B130" t="s">
        <v>424</v>
      </c>
      <c r="C130" t="s">
        <v>425</v>
      </c>
      <c r="D130" t="s">
        <v>178</v>
      </c>
      <c r="E130" t="s">
        <v>427</v>
      </c>
      <c r="F130" t="s">
        <v>427</v>
      </c>
      <c r="G130" t="s">
        <v>427</v>
      </c>
      <c r="H130" t="s">
        <v>432</v>
      </c>
      <c r="I130" t="s">
        <v>173</v>
      </c>
      <c r="L130" s="5" t="s">
        <v>173</v>
      </c>
      <c r="M130" s="1" t="s">
        <v>1</v>
      </c>
      <c r="N130" s="2">
        <v>0.32384669210971001</v>
      </c>
      <c r="O130" s="1"/>
      <c r="P130" s="1"/>
      <c r="Q130" s="1"/>
      <c r="R130" s="1"/>
      <c r="S130" s="1"/>
      <c r="T130" s="1"/>
      <c r="U130" s="1">
        <v>1</v>
      </c>
      <c r="V130" s="1"/>
      <c r="W130" s="1"/>
      <c r="X130" s="1"/>
      <c r="Y130" s="1"/>
      <c r="Z130" s="1"/>
      <c r="AA130" s="1"/>
    </row>
    <row r="131" spans="1:27" x14ac:dyDescent="0.3">
      <c r="A131" t="s">
        <v>26</v>
      </c>
      <c r="B131" t="s">
        <v>424</v>
      </c>
      <c r="C131" t="s">
        <v>425</v>
      </c>
      <c r="D131" t="s">
        <v>174</v>
      </c>
      <c r="E131" t="s">
        <v>426</v>
      </c>
      <c r="F131" t="s">
        <v>427</v>
      </c>
      <c r="G131" t="s">
        <v>427</v>
      </c>
      <c r="I131" t="s">
        <v>174</v>
      </c>
      <c r="L131" s="5" t="s">
        <v>174</v>
      </c>
      <c r="M131" s="1" t="s">
        <v>1</v>
      </c>
      <c r="N131" s="2">
        <v>0.32558123044867998</v>
      </c>
      <c r="O131" s="2">
        <v>10.2905657195034</v>
      </c>
      <c r="P131" s="1"/>
      <c r="Q131" s="1"/>
      <c r="R131" s="1"/>
      <c r="S131" s="1"/>
      <c r="T131" s="1"/>
      <c r="U131" s="1">
        <v>6</v>
      </c>
      <c r="V131" s="1">
        <v>18</v>
      </c>
      <c r="W131" s="1"/>
      <c r="X131" s="1"/>
      <c r="Y131" s="1"/>
      <c r="Z131" s="1"/>
      <c r="AA131" s="1"/>
    </row>
    <row r="132" spans="1:27" x14ac:dyDescent="0.3">
      <c r="A132" t="s">
        <v>26</v>
      </c>
      <c r="B132" t="s">
        <v>424</v>
      </c>
      <c r="C132" t="s">
        <v>425</v>
      </c>
      <c r="D132" t="s">
        <v>175</v>
      </c>
      <c r="E132" t="s">
        <v>426</v>
      </c>
      <c r="F132" t="s">
        <v>427</v>
      </c>
      <c r="G132" t="s">
        <v>427</v>
      </c>
      <c r="I132" t="s">
        <v>175</v>
      </c>
      <c r="L132" s="5" t="s">
        <v>175</v>
      </c>
      <c r="M132" s="1" t="s">
        <v>1</v>
      </c>
      <c r="N132" s="1"/>
      <c r="O132" s="2">
        <v>4.4136533445300099</v>
      </c>
      <c r="P132" s="1"/>
      <c r="Q132" s="1"/>
      <c r="R132" s="1"/>
      <c r="S132" s="1"/>
      <c r="T132" s="1"/>
      <c r="U132" s="1"/>
      <c r="V132" s="1">
        <v>26</v>
      </c>
      <c r="W132" s="1"/>
      <c r="X132" s="1"/>
      <c r="Y132" s="1"/>
      <c r="Z132" s="1"/>
      <c r="AA132" s="1"/>
    </row>
    <row r="133" spans="1:27" x14ac:dyDescent="0.3">
      <c r="A133" t="s">
        <v>26</v>
      </c>
      <c r="B133" t="s">
        <v>424</v>
      </c>
      <c r="C133" t="s">
        <v>425</v>
      </c>
      <c r="D133" t="s">
        <v>176</v>
      </c>
      <c r="E133" t="s">
        <v>427</v>
      </c>
      <c r="F133" t="s">
        <v>427</v>
      </c>
      <c r="G133" t="s">
        <v>427</v>
      </c>
      <c r="I133" t="s">
        <v>176</v>
      </c>
      <c r="L133" s="5" t="s">
        <v>176</v>
      </c>
      <c r="M133" s="1" t="s">
        <v>1</v>
      </c>
      <c r="N133" s="2">
        <v>5.8372776585344101E-2</v>
      </c>
      <c r="O133" s="2">
        <v>9.83677558935889</v>
      </c>
      <c r="P133" s="1"/>
      <c r="Q133" s="1"/>
      <c r="R133" s="1"/>
      <c r="S133" s="1"/>
      <c r="T133" s="1"/>
      <c r="U133" s="1">
        <v>2</v>
      </c>
      <c r="V133" s="1">
        <v>13</v>
      </c>
      <c r="W133" s="1"/>
      <c r="X133" s="1"/>
      <c r="Y133" s="1"/>
      <c r="Z133" s="1"/>
      <c r="AA133" s="1"/>
    </row>
    <row r="134" spans="1:27" x14ac:dyDescent="0.3">
      <c r="A134" t="s">
        <v>26</v>
      </c>
      <c r="B134" t="s">
        <v>441</v>
      </c>
      <c r="C134" t="s">
        <v>425</v>
      </c>
      <c r="D134" t="s">
        <v>177</v>
      </c>
      <c r="E134" t="s">
        <v>427</v>
      </c>
      <c r="F134" t="s">
        <v>427</v>
      </c>
      <c r="G134" t="s">
        <v>427</v>
      </c>
      <c r="I134" t="s">
        <v>177</v>
      </c>
      <c r="L134" s="5" t="s">
        <v>177</v>
      </c>
      <c r="M134" s="1" t="s">
        <v>1</v>
      </c>
      <c r="N134" s="2">
        <v>0.88827871010035497</v>
      </c>
      <c r="O134" s="1"/>
      <c r="P134" s="1"/>
      <c r="Q134" s="1"/>
      <c r="R134" s="1"/>
      <c r="S134" s="1"/>
      <c r="T134" s="1"/>
      <c r="U134" s="1">
        <v>6</v>
      </c>
      <c r="V134" s="1"/>
      <c r="W134" s="1"/>
      <c r="X134" s="1"/>
      <c r="Y134" s="1"/>
      <c r="Z134" s="1"/>
      <c r="AA134" s="1"/>
    </row>
    <row r="135" spans="1:27" x14ac:dyDescent="0.3">
      <c r="A135" t="s">
        <v>26</v>
      </c>
      <c r="B135" t="s">
        <v>424</v>
      </c>
      <c r="C135" t="s">
        <v>425</v>
      </c>
      <c r="D135" t="s">
        <v>178</v>
      </c>
      <c r="E135" t="s">
        <v>427</v>
      </c>
      <c r="F135" t="s">
        <v>427</v>
      </c>
      <c r="G135" t="s">
        <v>427</v>
      </c>
      <c r="I135" t="s">
        <v>178</v>
      </c>
      <c r="L135" s="5" t="s">
        <v>178</v>
      </c>
      <c r="M135" s="1" t="s">
        <v>1</v>
      </c>
      <c r="N135" s="2">
        <v>7.0466839088412199</v>
      </c>
      <c r="O135" s="2">
        <v>5.2208406353807701</v>
      </c>
      <c r="P135" s="1"/>
      <c r="Q135" s="1"/>
      <c r="R135" s="1"/>
      <c r="S135" s="1"/>
      <c r="T135" s="1"/>
      <c r="U135" s="1">
        <v>68</v>
      </c>
      <c r="V135" s="1">
        <v>17</v>
      </c>
      <c r="W135" s="1"/>
      <c r="X135" s="1"/>
      <c r="Y135" s="1"/>
      <c r="Z135" s="1"/>
      <c r="AA135" s="1"/>
    </row>
    <row r="136" spans="1:27" x14ac:dyDescent="0.3">
      <c r="A136" t="s">
        <v>26</v>
      </c>
      <c r="B136" t="s">
        <v>424</v>
      </c>
      <c r="C136" t="s">
        <v>425</v>
      </c>
      <c r="D136" t="s">
        <v>456</v>
      </c>
      <c r="E136" t="s">
        <v>427</v>
      </c>
      <c r="F136" t="s">
        <v>427</v>
      </c>
      <c r="G136" t="s">
        <v>427</v>
      </c>
      <c r="H136" t="s">
        <v>432</v>
      </c>
      <c r="I136" t="s">
        <v>179</v>
      </c>
      <c r="L136" s="5" t="s">
        <v>179</v>
      </c>
      <c r="M136" s="1" t="s">
        <v>1</v>
      </c>
      <c r="N136" s="2">
        <v>2.0549091719065502</v>
      </c>
      <c r="O136" s="1"/>
      <c r="P136" s="1"/>
      <c r="Q136" s="1"/>
      <c r="R136" s="1"/>
      <c r="S136" s="1"/>
      <c r="T136" s="1"/>
      <c r="U136" s="1">
        <v>37</v>
      </c>
      <c r="V136" s="1"/>
      <c r="W136" s="1"/>
      <c r="X136" s="1"/>
      <c r="Y136" s="1"/>
      <c r="Z136" s="1"/>
      <c r="AA136" s="1"/>
    </row>
    <row r="137" spans="1:27" x14ac:dyDescent="0.3">
      <c r="A137" t="s">
        <v>26</v>
      </c>
      <c r="B137" t="s">
        <v>424</v>
      </c>
      <c r="C137" t="s">
        <v>425</v>
      </c>
      <c r="D137" t="s">
        <v>180</v>
      </c>
      <c r="E137" t="s">
        <v>426</v>
      </c>
      <c r="F137" t="s">
        <v>427</v>
      </c>
      <c r="G137" t="s">
        <v>427</v>
      </c>
      <c r="I137" t="s">
        <v>180</v>
      </c>
      <c r="L137" s="5" t="s">
        <v>180</v>
      </c>
      <c r="M137" s="1" t="s">
        <v>1</v>
      </c>
      <c r="N137" s="1"/>
      <c r="O137" s="1"/>
      <c r="P137" s="1"/>
      <c r="Q137" s="1"/>
      <c r="R137" s="2">
        <v>0.153514741301534</v>
      </c>
      <c r="S137" s="2"/>
      <c r="T137" s="1"/>
      <c r="U137" s="1"/>
      <c r="V137" s="1"/>
      <c r="W137" s="1"/>
      <c r="X137" s="1"/>
      <c r="Y137" s="1">
        <v>2</v>
      </c>
      <c r="Z137" s="1"/>
      <c r="AA137" s="1"/>
    </row>
    <row r="138" spans="1:27" x14ac:dyDescent="0.3">
      <c r="A138" t="s">
        <v>26</v>
      </c>
      <c r="B138" t="s">
        <v>424</v>
      </c>
      <c r="C138" t="s">
        <v>425</v>
      </c>
      <c r="D138" t="s">
        <v>182</v>
      </c>
      <c r="E138" t="s">
        <v>427</v>
      </c>
      <c r="F138" t="s">
        <v>427</v>
      </c>
      <c r="G138" t="s">
        <v>427</v>
      </c>
      <c r="I138" t="s">
        <v>182</v>
      </c>
      <c r="L138" s="5" t="s">
        <v>181</v>
      </c>
      <c r="M138" s="1" t="s">
        <v>1</v>
      </c>
      <c r="N138" s="1"/>
      <c r="O138" s="1"/>
      <c r="P138" s="2">
        <v>2.3769054938720902</v>
      </c>
      <c r="Q138" s="1"/>
      <c r="R138" s="1"/>
      <c r="S138" s="1"/>
      <c r="T138" s="1"/>
      <c r="U138" s="1"/>
      <c r="V138" s="1"/>
      <c r="W138" s="1">
        <v>2</v>
      </c>
      <c r="X138" s="1"/>
      <c r="Y138" s="1"/>
      <c r="Z138" s="1"/>
      <c r="AA138" s="1"/>
    </row>
    <row r="139" spans="1:27" x14ac:dyDescent="0.3">
      <c r="L139" s="5" t="s">
        <v>182</v>
      </c>
      <c r="M139" s="1" t="s">
        <v>1</v>
      </c>
      <c r="N139" s="1"/>
      <c r="O139" s="1"/>
      <c r="P139" s="1"/>
      <c r="Q139" s="1"/>
      <c r="R139" s="1"/>
      <c r="S139" s="2">
        <f>T139/0.5</f>
        <v>0.76658528108215596</v>
      </c>
      <c r="T139" s="2">
        <v>0.38329264054107798</v>
      </c>
      <c r="U139" s="1"/>
      <c r="V139" s="1"/>
      <c r="W139" s="1"/>
      <c r="X139" s="1"/>
      <c r="Y139" s="1"/>
      <c r="Z139" s="1">
        <f>AA139/0.5</f>
        <v>16</v>
      </c>
      <c r="AA139" s="1">
        <v>8</v>
      </c>
    </row>
    <row r="140" spans="1:27" x14ac:dyDescent="0.3">
      <c r="A140" t="s">
        <v>26</v>
      </c>
      <c r="B140" t="s">
        <v>441</v>
      </c>
      <c r="C140" t="s">
        <v>425</v>
      </c>
      <c r="D140" t="s">
        <v>183</v>
      </c>
      <c r="E140" t="s">
        <v>427</v>
      </c>
      <c r="F140" t="s">
        <v>427</v>
      </c>
      <c r="G140" t="s">
        <v>427</v>
      </c>
      <c r="I140" t="s">
        <v>183</v>
      </c>
      <c r="L140" s="5" t="s">
        <v>183</v>
      </c>
      <c r="M140" s="1" t="s">
        <v>1</v>
      </c>
      <c r="N140" s="1"/>
      <c r="O140" s="1"/>
      <c r="P140" s="1"/>
      <c r="Q140" s="1"/>
      <c r="R140" s="2">
        <v>3.5002871329736097E-2</v>
      </c>
      <c r="S140" s="2"/>
      <c r="T140" s="1"/>
      <c r="U140" s="1"/>
      <c r="V140" s="1"/>
      <c r="W140" s="1"/>
      <c r="X140" s="1"/>
      <c r="Y140" s="1">
        <v>1</v>
      </c>
      <c r="Z140" s="1"/>
      <c r="AA140" s="1"/>
    </row>
    <row r="141" spans="1:27" x14ac:dyDescent="0.3">
      <c r="A141" t="s">
        <v>26</v>
      </c>
      <c r="B141" t="s">
        <v>424</v>
      </c>
      <c r="C141" t="s">
        <v>425</v>
      </c>
      <c r="D141" t="s">
        <v>184</v>
      </c>
      <c r="E141" t="s">
        <v>427</v>
      </c>
      <c r="F141" t="s">
        <v>427</v>
      </c>
      <c r="G141" t="s">
        <v>427</v>
      </c>
      <c r="I141" t="s">
        <v>184</v>
      </c>
      <c r="L141" s="5" t="s">
        <v>184</v>
      </c>
      <c r="M141" s="1" t="s">
        <v>1</v>
      </c>
      <c r="N141" s="1"/>
      <c r="O141" s="2">
        <v>30.040130742248799</v>
      </c>
      <c r="P141" s="1"/>
      <c r="Q141" s="1"/>
      <c r="R141" s="1"/>
      <c r="S141" s="1"/>
      <c r="T141" s="1"/>
      <c r="U141" s="1"/>
      <c r="V141" s="1">
        <v>29</v>
      </c>
      <c r="W141" s="1"/>
      <c r="X141" s="1"/>
      <c r="Y141" s="1"/>
      <c r="Z141" s="1"/>
      <c r="AA141" s="1"/>
    </row>
    <row r="142" spans="1:27" x14ac:dyDescent="0.3">
      <c r="A142" t="s">
        <v>26</v>
      </c>
      <c r="B142" t="s">
        <v>424</v>
      </c>
      <c r="C142" t="s">
        <v>425</v>
      </c>
      <c r="D142" t="s">
        <v>185</v>
      </c>
      <c r="E142" t="s">
        <v>426</v>
      </c>
      <c r="F142" t="s">
        <v>427</v>
      </c>
      <c r="G142" t="s">
        <v>427</v>
      </c>
      <c r="I142" t="s">
        <v>185</v>
      </c>
      <c r="L142" s="5" t="s">
        <v>185</v>
      </c>
      <c r="M142" s="1" t="s">
        <v>1</v>
      </c>
      <c r="N142" s="2">
        <v>2.3733661937269499</v>
      </c>
      <c r="O142" s="2">
        <v>3.3380978237541301</v>
      </c>
      <c r="P142" s="1"/>
      <c r="Q142" s="1"/>
      <c r="R142" s="1"/>
      <c r="S142" s="1"/>
      <c r="T142" s="1"/>
      <c r="U142" s="1">
        <v>7</v>
      </c>
      <c r="V142" s="1">
        <v>6</v>
      </c>
      <c r="W142" s="1"/>
      <c r="X142" s="1"/>
      <c r="Y142" s="1"/>
      <c r="Z142" s="1"/>
      <c r="AA142" s="1"/>
    </row>
    <row r="143" spans="1:27" x14ac:dyDescent="0.3">
      <c r="A143" t="s">
        <v>26</v>
      </c>
      <c r="B143" t="s">
        <v>424</v>
      </c>
      <c r="C143" t="s">
        <v>425</v>
      </c>
      <c r="D143" t="s">
        <v>457</v>
      </c>
      <c r="E143" t="s">
        <v>427</v>
      </c>
      <c r="F143" t="s">
        <v>427</v>
      </c>
      <c r="G143" t="s">
        <v>427</v>
      </c>
      <c r="H143" t="s">
        <v>432</v>
      </c>
      <c r="I143" t="s">
        <v>186</v>
      </c>
      <c r="L143" s="5" t="s">
        <v>186</v>
      </c>
      <c r="M143" s="1" t="s">
        <v>1</v>
      </c>
      <c r="N143" s="2">
        <v>2.8774647597669099E-2</v>
      </c>
      <c r="O143" s="1"/>
      <c r="P143" s="1"/>
      <c r="Q143" s="1"/>
      <c r="R143" s="1"/>
      <c r="S143" s="1"/>
      <c r="T143" s="1"/>
      <c r="U143" s="1">
        <v>1</v>
      </c>
      <c r="V143" s="1"/>
      <c r="W143" s="1"/>
      <c r="X143" s="1"/>
      <c r="Y143" s="1"/>
      <c r="Z143" s="1"/>
      <c r="AA143" s="1"/>
    </row>
    <row r="144" spans="1:27" x14ac:dyDescent="0.3">
      <c r="A144" t="s">
        <v>26</v>
      </c>
      <c r="B144" t="s">
        <v>424</v>
      </c>
      <c r="C144" t="s">
        <v>425</v>
      </c>
      <c r="D144" t="s">
        <v>187</v>
      </c>
      <c r="E144" t="s">
        <v>426</v>
      </c>
      <c r="F144" t="s">
        <v>427</v>
      </c>
      <c r="G144" t="s">
        <v>427</v>
      </c>
      <c r="I144" t="s">
        <v>187</v>
      </c>
      <c r="L144" s="5" t="s">
        <v>187</v>
      </c>
      <c r="M144" s="1" t="s">
        <v>1</v>
      </c>
      <c r="N144" s="2">
        <v>3.6721494928081699</v>
      </c>
      <c r="O144" s="1"/>
      <c r="P144" s="1"/>
      <c r="Q144" s="1"/>
      <c r="R144" s="1"/>
      <c r="S144" s="1"/>
      <c r="T144" s="1"/>
      <c r="U144" s="1">
        <v>3</v>
      </c>
      <c r="V144" s="1"/>
      <c r="W144" s="1"/>
      <c r="X144" s="1"/>
      <c r="Y144" s="1"/>
      <c r="Z144" s="1"/>
      <c r="AA144" s="1"/>
    </row>
    <row r="145" spans="1:27" x14ac:dyDescent="0.3">
      <c r="A145" t="s">
        <v>26</v>
      </c>
      <c r="B145" t="s">
        <v>424</v>
      </c>
      <c r="C145" t="s">
        <v>425</v>
      </c>
      <c r="D145" t="s">
        <v>188</v>
      </c>
      <c r="E145" t="s">
        <v>427</v>
      </c>
      <c r="F145" t="s">
        <v>427</v>
      </c>
      <c r="G145" t="s">
        <v>427</v>
      </c>
      <c r="I145" t="s">
        <v>188</v>
      </c>
      <c r="L145" s="5" t="s">
        <v>188</v>
      </c>
      <c r="M145" s="1" t="s">
        <v>1</v>
      </c>
      <c r="N145" s="1"/>
      <c r="O145" s="1"/>
      <c r="P145" s="1"/>
      <c r="Q145" s="1"/>
      <c r="R145" s="2">
        <v>6.9971856381067397E-3</v>
      </c>
      <c r="S145" s="2"/>
      <c r="T145" s="1"/>
      <c r="U145" s="1"/>
      <c r="V145" s="1"/>
      <c r="W145" s="1"/>
      <c r="X145" s="1"/>
      <c r="Y145" s="1">
        <v>1</v>
      </c>
      <c r="Z145" s="1"/>
      <c r="AA145" s="1"/>
    </row>
    <row r="146" spans="1:27" x14ac:dyDescent="0.3">
      <c r="A146" t="s">
        <v>26</v>
      </c>
      <c r="B146" t="s">
        <v>424</v>
      </c>
      <c r="C146" t="s">
        <v>425</v>
      </c>
      <c r="D146" t="s">
        <v>189</v>
      </c>
      <c r="E146" t="s">
        <v>427</v>
      </c>
      <c r="F146" t="s">
        <v>427</v>
      </c>
      <c r="G146" t="s">
        <v>427</v>
      </c>
      <c r="I146" t="s">
        <v>189</v>
      </c>
      <c r="L146" s="5" t="s">
        <v>189</v>
      </c>
      <c r="M146" s="1" t="s">
        <v>1</v>
      </c>
      <c r="N146" s="2">
        <v>5.8114254943690997E-2</v>
      </c>
      <c r="O146" s="1"/>
      <c r="P146" s="1"/>
      <c r="Q146" s="1"/>
      <c r="R146" s="1"/>
      <c r="S146" s="1"/>
      <c r="T146" s="1"/>
      <c r="U146" s="1">
        <v>2</v>
      </c>
      <c r="V146" s="1"/>
      <c r="W146" s="1"/>
      <c r="X146" s="1"/>
      <c r="Y146" s="1"/>
      <c r="Z146" s="1"/>
      <c r="AA146" s="1"/>
    </row>
    <row r="147" spans="1:27" x14ac:dyDescent="0.3">
      <c r="A147" t="s">
        <v>26</v>
      </c>
      <c r="B147" t="s">
        <v>424</v>
      </c>
      <c r="C147" t="s">
        <v>425</v>
      </c>
      <c r="D147" t="s">
        <v>190</v>
      </c>
      <c r="E147" t="s">
        <v>426</v>
      </c>
      <c r="F147" t="s">
        <v>427</v>
      </c>
      <c r="G147" t="s">
        <v>427</v>
      </c>
      <c r="I147" t="s">
        <v>190</v>
      </c>
      <c r="L147" s="5" t="s">
        <v>190</v>
      </c>
      <c r="M147" s="1" t="s">
        <v>1</v>
      </c>
      <c r="N147" s="2">
        <v>8.4991042422384897</v>
      </c>
      <c r="O147" s="1"/>
      <c r="P147" s="1"/>
      <c r="Q147" s="1"/>
      <c r="R147" s="1"/>
      <c r="S147" s="1"/>
      <c r="T147" s="1"/>
      <c r="U147" s="1">
        <v>118</v>
      </c>
      <c r="V147" s="1"/>
      <c r="W147" s="1"/>
      <c r="X147" s="1"/>
      <c r="Y147" s="1"/>
      <c r="Z147" s="1"/>
      <c r="AA147" s="1"/>
    </row>
    <row r="148" spans="1:27" x14ac:dyDescent="0.3">
      <c r="K148" s="1" t="s">
        <v>27</v>
      </c>
      <c r="L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3">
      <c r="A149" t="s">
        <v>27</v>
      </c>
      <c r="B149" t="s">
        <v>424</v>
      </c>
      <c r="C149" t="s">
        <v>425</v>
      </c>
      <c r="D149" t="s">
        <v>191</v>
      </c>
      <c r="E149" t="s">
        <v>427</v>
      </c>
      <c r="F149" t="s">
        <v>427</v>
      </c>
      <c r="G149" t="s">
        <v>427</v>
      </c>
      <c r="I149" t="s">
        <v>191</v>
      </c>
      <c r="L149" s="5" t="s">
        <v>191</v>
      </c>
      <c r="M149" s="1" t="s">
        <v>1</v>
      </c>
      <c r="N149" s="1"/>
      <c r="O149" s="1"/>
      <c r="P149" s="2">
        <v>0.14589035232012701</v>
      </c>
      <c r="Q149" s="1"/>
      <c r="R149" s="1"/>
      <c r="S149" s="1"/>
      <c r="T149" s="1"/>
      <c r="U149" s="1"/>
      <c r="V149" s="1"/>
      <c r="W149" s="1">
        <v>1</v>
      </c>
      <c r="X149" s="1"/>
      <c r="Y149" s="1"/>
      <c r="Z149" s="1"/>
      <c r="AA149" s="1"/>
    </row>
    <row r="150" spans="1:27" x14ac:dyDescent="0.3">
      <c r="A150" t="s">
        <v>27</v>
      </c>
      <c r="B150" t="s">
        <v>424</v>
      </c>
      <c r="C150" t="s">
        <v>425</v>
      </c>
      <c r="D150" t="s">
        <v>192</v>
      </c>
      <c r="E150" t="s">
        <v>427</v>
      </c>
      <c r="F150" t="s">
        <v>427</v>
      </c>
      <c r="G150" t="s">
        <v>427</v>
      </c>
      <c r="I150" t="s">
        <v>192</v>
      </c>
      <c r="L150" s="5" t="s">
        <v>192</v>
      </c>
      <c r="M150" s="1" t="s">
        <v>1</v>
      </c>
      <c r="N150" s="2">
        <v>0.46758013589380898</v>
      </c>
      <c r="O150" s="1"/>
      <c r="P150" s="1"/>
      <c r="Q150" s="1"/>
      <c r="R150" s="1"/>
      <c r="S150" s="1"/>
      <c r="T150" s="1"/>
      <c r="U150" s="1">
        <v>10</v>
      </c>
      <c r="V150" s="1"/>
      <c r="W150" s="1"/>
      <c r="X150" s="1"/>
      <c r="Y150" s="1"/>
      <c r="Z150" s="1"/>
      <c r="AA150" s="1"/>
    </row>
    <row r="151" spans="1:27" x14ac:dyDescent="0.3">
      <c r="K151" s="1" t="s">
        <v>28</v>
      </c>
      <c r="L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3">
      <c r="A152" t="s">
        <v>28</v>
      </c>
      <c r="B152" t="s">
        <v>424</v>
      </c>
      <c r="C152" t="s">
        <v>425</v>
      </c>
      <c r="D152" t="s">
        <v>458</v>
      </c>
      <c r="E152" t="s">
        <v>427</v>
      </c>
      <c r="F152" t="s">
        <v>427</v>
      </c>
      <c r="G152" t="s">
        <v>427</v>
      </c>
      <c r="H152" t="s">
        <v>432</v>
      </c>
      <c r="I152" t="s">
        <v>193</v>
      </c>
      <c r="L152" s="5" t="s">
        <v>193</v>
      </c>
      <c r="M152" s="1" t="s">
        <v>1</v>
      </c>
      <c r="N152" s="1"/>
      <c r="O152" s="1"/>
      <c r="P152" s="1"/>
      <c r="Q152" s="2">
        <v>7.44219044780967E-3</v>
      </c>
      <c r="R152" s="1"/>
      <c r="S152" s="1"/>
      <c r="T152" s="1"/>
      <c r="U152" s="1"/>
      <c r="V152" s="1"/>
      <c r="W152" s="1"/>
      <c r="X152" s="1">
        <v>1</v>
      </c>
      <c r="Y152" s="1"/>
      <c r="Z152" s="1"/>
      <c r="AA152" s="1"/>
    </row>
    <row r="153" spans="1:27" x14ac:dyDescent="0.3">
      <c r="A153" t="s">
        <v>28</v>
      </c>
      <c r="B153" t="s">
        <v>424</v>
      </c>
      <c r="C153" t="s">
        <v>425</v>
      </c>
      <c r="D153" t="s">
        <v>459</v>
      </c>
      <c r="E153" t="s">
        <v>427</v>
      </c>
      <c r="F153" t="s">
        <v>427</v>
      </c>
      <c r="G153" t="s">
        <v>427</v>
      </c>
      <c r="H153" t="s">
        <v>432</v>
      </c>
      <c r="I153" t="s">
        <v>194</v>
      </c>
      <c r="L153" s="5" t="s">
        <v>194</v>
      </c>
      <c r="M153" s="1" t="s">
        <v>1</v>
      </c>
      <c r="N153" s="1"/>
      <c r="O153" s="1"/>
      <c r="P153" s="2">
        <v>14.2221132771577</v>
      </c>
      <c r="Q153" s="2">
        <v>0.27502623769117002</v>
      </c>
      <c r="R153" s="1"/>
      <c r="S153" s="1"/>
      <c r="T153" s="1"/>
      <c r="U153" s="1"/>
      <c r="V153" s="1"/>
      <c r="W153" s="1">
        <v>95</v>
      </c>
      <c r="X153" s="1">
        <v>7</v>
      </c>
      <c r="Y153" s="1"/>
      <c r="Z153" s="1"/>
      <c r="AA153" s="1"/>
    </row>
    <row r="154" spans="1:27" x14ac:dyDescent="0.3">
      <c r="A154" t="s">
        <v>28</v>
      </c>
      <c r="B154" t="s">
        <v>441</v>
      </c>
      <c r="C154" t="s">
        <v>425</v>
      </c>
      <c r="D154" t="s">
        <v>195</v>
      </c>
      <c r="E154" t="s">
        <v>427</v>
      </c>
      <c r="F154" t="s">
        <v>427</v>
      </c>
      <c r="G154" t="s">
        <v>427</v>
      </c>
      <c r="I154" t="s">
        <v>195</v>
      </c>
      <c r="L154" s="5" t="s">
        <v>195</v>
      </c>
      <c r="M154" s="1" t="s">
        <v>1</v>
      </c>
      <c r="N154" s="2">
        <v>4.4058578413973502E-3</v>
      </c>
      <c r="O154" s="1"/>
      <c r="P154" s="1"/>
      <c r="Q154" s="1"/>
      <c r="R154" s="1"/>
      <c r="S154" s="1"/>
      <c r="T154" s="1"/>
      <c r="U154" s="1">
        <v>1</v>
      </c>
      <c r="V154" s="1"/>
      <c r="W154" s="1"/>
      <c r="X154" s="1"/>
      <c r="Y154" s="1"/>
      <c r="Z154" s="1"/>
      <c r="AA154" s="1"/>
    </row>
    <row r="155" spans="1:27" x14ac:dyDescent="0.3">
      <c r="A155" t="s">
        <v>28</v>
      </c>
      <c r="B155" t="s">
        <v>424</v>
      </c>
      <c r="C155" t="s">
        <v>425</v>
      </c>
      <c r="D155" t="s">
        <v>460</v>
      </c>
      <c r="E155" t="s">
        <v>427</v>
      </c>
      <c r="F155" t="s">
        <v>427</v>
      </c>
      <c r="G155" t="s">
        <v>427</v>
      </c>
      <c r="H155" t="s">
        <v>432</v>
      </c>
      <c r="I155" t="s">
        <v>196</v>
      </c>
      <c r="L155" s="5" t="s">
        <v>196</v>
      </c>
      <c r="M155" s="1" t="s">
        <v>1</v>
      </c>
      <c r="N155" s="1"/>
      <c r="O155" s="1"/>
      <c r="P155" s="1"/>
      <c r="Q155" s="2">
        <v>4.11468374919223E-2</v>
      </c>
      <c r="R155" s="1"/>
      <c r="S155" s="1"/>
      <c r="T155" s="1"/>
      <c r="U155" s="1"/>
      <c r="V155" s="1"/>
      <c r="W155" s="1"/>
      <c r="X155" s="1">
        <v>2</v>
      </c>
      <c r="Y155" s="1"/>
      <c r="Z155" s="1"/>
      <c r="AA155" s="1"/>
    </row>
    <row r="156" spans="1:27" x14ac:dyDescent="0.3">
      <c r="A156" t="s">
        <v>28</v>
      </c>
      <c r="B156" t="s">
        <v>424</v>
      </c>
      <c r="C156" t="s">
        <v>425</v>
      </c>
      <c r="D156" t="s">
        <v>197</v>
      </c>
      <c r="E156" t="s">
        <v>427</v>
      </c>
      <c r="F156" t="s">
        <v>427</v>
      </c>
      <c r="G156" t="s">
        <v>427</v>
      </c>
      <c r="I156" t="s">
        <v>197</v>
      </c>
      <c r="L156" s="5" t="s">
        <v>197</v>
      </c>
      <c r="M156" s="1" t="s">
        <v>1</v>
      </c>
      <c r="N156" s="2">
        <v>3.04704152053706E-2</v>
      </c>
      <c r="O156" s="2">
        <v>1.46414239869181E-2</v>
      </c>
      <c r="P156" s="1"/>
      <c r="Q156" s="1"/>
      <c r="R156" s="2">
        <v>1.7626596298441401E-2</v>
      </c>
      <c r="S156" s="2"/>
      <c r="T156" s="1"/>
      <c r="U156" s="1">
        <v>2</v>
      </c>
      <c r="V156" s="1">
        <v>2</v>
      </c>
      <c r="W156" s="1"/>
      <c r="X156" s="1"/>
      <c r="Y156" s="1">
        <v>1</v>
      </c>
      <c r="Z156" s="1"/>
      <c r="AA156" s="1"/>
    </row>
    <row r="157" spans="1:27" x14ac:dyDescent="0.3">
      <c r="A157" t="s">
        <v>28</v>
      </c>
      <c r="B157" t="s">
        <v>424</v>
      </c>
      <c r="C157" t="s">
        <v>425</v>
      </c>
      <c r="D157" t="s">
        <v>198</v>
      </c>
      <c r="E157" t="s">
        <v>426</v>
      </c>
      <c r="F157" t="s">
        <v>427</v>
      </c>
      <c r="G157" t="s">
        <v>427</v>
      </c>
      <c r="I157" t="s">
        <v>198</v>
      </c>
      <c r="L157" s="5" t="s">
        <v>198</v>
      </c>
      <c r="M157" s="1" t="s">
        <v>1</v>
      </c>
      <c r="N157" s="2">
        <v>7.4148802581131906E-2</v>
      </c>
      <c r="O157" s="1"/>
      <c r="P157" s="1"/>
      <c r="Q157" s="1"/>
      <c r="R157" s="1"/>
      <c r="S157" s="1"/>
      <c r="T157" s="1"/>
      <c r="U157" s="1">
        <v>2</v>
      </c>
      <c r="V157" s="1"/>
      <c r="W157" s="1"/>
      <c r="X157" s="1"/>
      <c r="Y157" s="1"/>
      <c r="Z157" s="1"/>
      <c r="AA157" s="1"/>
    </row>
    <row r="158" spans="1:27" x14ac:dyDescent="0.3">
      <c r="A158" t="s">
        <v>28</v>
      </c>
      <c r="B158" t="s">
        <v>424</v>
      </c>
      <c r="C158" t="s">
        <v>425</v>
      </c>
      <c r="D158" t="s">
        <v>199</v>
      </c>
      <c r="E158" t="s">
        <v>427</v>
      </c>
      <c r="F158" t="s">
        <v>427</v>
      </c>
      <c r="G158" t="s">
        <v>427</v>
      </c>
      <c r="I158" t="s">
        <v>199</v>
      </c>
      <c r="L158" s="5" t="s">
        <v>199</v>
      </c>
      <c r="M158" s="1" t="s">
        <v>1</v>
      </c>
      <c r="N158" s="1"/>
      <c r="O158" s="2">
        <v>3.7593710447925202</v>
      </c>
      <c r="P158" s="1"/>
      <c r="Q158" s="1"/>
      <c r="R158" s="1"/>
      <c r="S158" s="1"/>
      <c r="T158" s="1"/>
      <c r="U158" s="1"/>
      <c r="V158" s="1">
        <v>5</v>
      </c>
      <c r="W158" s="1"/>
      <c r="X158" s="1"/>
      <c r="Y158" s="1"/>
      <c r="Z158" s="1"/>
      <c r="AA158" s="1"/>
    </row>
    <row r="159" spans="1:27" x14ac:dyDescent="0.3">
      <c r="A159" t="s">
        <v>28</v>
      </c>
      <c r="B159" t="s">
        <v>424</v>
      </c>
      <c r="C159" t="s">
        <v>425</v>
      </c>
      <c r="D159" t="s">
        <v>200</v>
      </c>
      <c r="E159" t="s">
        <v>427</v>
      </c>
      <c r="F159" t="s">
        <v>427</v>
      </c>
      <c r="G159" t="s">
        <v>427</v>
      </c>
      <c r="I159" t="s">
        <v>200</v>
      </c>
      <c r="L159" s="5" t="s">
        <v>200</v>
      </c>
      <c r="M159" s="1" t="s">
        <v>1</v>
      </c>
      <c r="N159" s="1"/>
      <c r="O159" s="2">
        <v>0.96580545319774802</v>
      </c>
      <c r="P159" s="1"/>
      <c r="Q159" s="1"/>
      <c r="R159" s="1"/>
      <c r="S159" s="1"/>
      <c r="T159" s="1"/>
      <c r="U159" s="1"/>
      <c r="V159" s="1">
        <v>8</v>
      </c>
      <c r="W159" s="1"/>
      <c r="X159" s="1"/>
      <c r="Y159" s="1"/>
      <c r="Z159" s="1"/>
      <c r="AA159" s="1"/>
    </row>
    <row r="160" spans="1:27" x14ac:dyDescent="0.3">
      <c r="A160" t="s">
        <v>28</v>
      </c>
      <c r="B160" t="s">
        <v>424</v>
      </c>
      <c r="C160" t="s">
        <v>425</v>
      </c>
      <c r="D160" t="s">
        <v>201</v>
      </c>
      <c r="E160" t="s">
        <v>427</v>
      </c>
      <c r="F160" t="s">
        <v>427</v>
      </c>
      <c r="G160" t="s">
        <v>427</v>
      </c>
      <c r="I160" t="s">
        <v>201</v>
      </c>
      <c r="L160" s="5" t="s">
        <v>201</v>
      </c>
      <c r="M160" s="1" t="s">
        <v>1</v>
      </c>
      <c r="N160" s="1"/>
      <c r="O160" s="1"/>
      <c r="P160" s="1"/>
      <c r="Q160" s="1"/>
      <c r="R160" s="2">
        <v>2.09173025783101</v>
      </c>
      <c r="S160" s="2"/>
      <c r="T160" s="1"/>
      <c r="U160" s="1"/>
      <c r="V160" s="1"/>
      <c r="W160" s="1"/>
      <c r="X160" s="1"/>
      <c r="Y160" s="1">
        <v>23</v>
      </c>
      <c r="Z160" s="1"/>
      <c r="AA160" s="1"/>
    </row>
    <row r="161" spans="1:27" x14ac:dyDescent="0.3">
      <c r="A161" t="s">
        <v>28</v>
      </c>
      <c r="B161" t="s">
        <v>424</v>
      </c>
      <c r="C161" t="s">
        <v>425</v>
      </c>
      <c r="D161" t="s">
        <v>202</v>
      </c>
      <c r="E161" t="s">
        <v>427</v>
      </c>
      <c r="F161" t="s">
        <v>427</v>
      </c>
      <c r="G161" t="s">
        <v>427</v>
      </c>
      <c r="I161" t="s">
        <v>202</v>
      </c>
      <c r="L161" s="5" t="s">
        <v>202</v>
      </c>
      <c r="M161" s="1" t="s">
        <v>1</v>
      </c>
      <c r="N161" s="1"/>
      <c r="O161" s="2">
        <v>0.12870623084735</v>
      </c>
      <c r="P161" s="1"/>
      <c r="Q161" s="1"/>
      <c r="R161" s="2">
        <v>9.1469631434938602E-3</v>
      </c>
      <c r="S161" s="2"/>
      <c r="T161" s="1"/>
      <c r="U161" s="1"/>
      <c r="V161" s="1">
        <v>1</v>
      </c>
      <c r="W161" s="1"/>
      <c r="X161" s="1"/>
      <c r="Y161" s="1">
        <v>1</v>
      </c>
      <c r="Z161" s="1"/>
      <c r="AA161" s="1"/>
    </row>
    <row r="162" spans="1:27" x14ac:dyDescent="0.3">
      <c r="A162" t="s">
        <v>28</v>
      </c>
      <c r="B162" t="s">
        <v>424</v>
      </c>
      <c r="C162" t="s">
        <v>425</v>
      </c>
      <c r="D162" t="s">
        <v>203</v>
      </c>
      <c r="E162" t="s">
        <v>426</v>
      </c>
      <c r="F162" t="s">
        <v>427</v>
      </c>
      <c r="G162" t="s">
        <v>427</v>
      </c>
      <c r="I162" t="s">
        <v>203</v>
      </c>
      <c r="L162" s="5" t="s">
        <v>203</v>
      </c>
      <c r="M162" s="1" t="s">
        <v>1</v>
      </c>
      <c r="N162" s="2">
        <v>0.125021736022153</v>
      </c>
      <c r="O162" s="2">
        <v>0.972052440557724</v>
      </c>
      <c r="P162" s="2">
        <v>0.35575698058815303</v>
      </c>
      <c r="Q162" s="2">
        <v>3.5829741779666698E-2</v>
      </c>
      <c r="R162" s="2">
        <v>2.8753266483973601</v>
      </c>
      <c r="S162" s="2"/>
      <c r="T162" s="1"/>
      <c r="U162" s="1">
        <v>1</v>
      </c>
      <c r="V162" s="1">
        <v>6</v>
      </c>
      <c r="W162" s="1">
        <v>9</v>
      </c>
      <c r="X162" s="1">
        <v>3</v>
      </c>
      <c r="Y162" s="1">
        <v>23</v>
      </c>
      <c r="Z162" s="1"/>
      <c r="AA162" s="1"/>
    </row>
    <row r="163" spans="1:27" x14ac:dyDescent="0.3">
      <c r="A163" t="s">
        <v>28</v>
      </c>
      <c r="B163" t="s">
        <v>424</v>
      </c>
      <c r="C163" t="s">
        <v>425</v>
      </c>
      <c r="D163" t="s">
        <v>461</v>
      </c>
      <c r="E163" t="s">
        <v>427</v>
      </c>
      <c r="F163" t="s">
        <v>427</v>
      </c>
      <c r="G163" t="s">
        <v>427</v>
      </c>
      <c r="H163" t="s">
        <v>436</v>
      </c>
      <c r="I163" t="s">
        <v>204</v>
      </c>
      <c r="L163" s="5" t="s">
        <v>204</v>
      </c>
      <c r="M163" s="1" t="s">
        <v>1</v>
      </c>
      <c r="N163" s="2">
        <v>0.295555739125759</v>
      </c>
      <c r="O163" s="1"/>
      <c r="P163" s="1"/>
      <c r="Q163" s="1"/>
      <c r="R163" s="1"/>
      <c r="S163" s="1"/>
      <c r="T163" s="1"/>
      <c r="U163" s="1">
        <v>18</v>
      </c>
      <c r="V163" s="1"/>
      <c r="W163" s="1"/>
      <c r="X163" s="1"/>
      <c r="Y163" s="1"/>
      <c r="Z163" s="1"/>
      <c r="AA163" s="1"/>
    </row>
    <row r="164" spans="1:27" x14ac:dyDescent="0.3">
      <c r="A164" t="s">
        <v>28</v>
      </c>
      <c r="B164" t="s">
        <v>424</v>
      </c>
      <c r="C164" t="s">
        <v>425</v>
      </c>
      <c r="D164" t="s">
        <v>205</v>
      </c>
      <c r="E164" t="s">
        <v>427</v>
      </c>
      <c r="F164" t="s">
        <v>427</v>
      </c>
      <c r="G164" t="s">
        <v>427</v>
      </c>
      <c r="I164" t="s">
        <v>205</v>
      </c>
      <c r="L164" s="5" t="s">
        <v>205</v>
      </c>
      <c r="M164" s="1" t="s">
        <v>1</v>
      </c>
      <c r="N164" s="1"/>
      <c r="O164" s="2">
        <v>1.1957468061273899</v>
      </c>
      <c r="P164" s="1"/>
      <c r="Q164" s="1"/>
      <c r="R164" s="2">
        <v>1.7884402055803399</v>
      </c>
      <c r="S164" s="2"/>
      <c r="T164" s="1"/>
      <c r="U164" s="1"/>
      <c r="V164" s="1">
        <v>9</v>
      </c>
      <c r="W164" s="1"/>
      <c r="X164" s="1"/>
      <c r="Y164" s="1">
        <v>21</v>
      </c>
      <c r="Z164" s="1"/>
      <c r="AA164" s="1"/>
    </row>
    <row r="165" spans="1:27" x14ac:dyDescent="0.3">
      <c r="A165" t="s">
        <v>28</v>
      </c>
      <c r="B165" t="s">
        <v>424</v>
      </c>
      <c r="C165" t="s">
        <v>425</v>
      </c>
      <c r="D165" t="s">
        <v>206</v>
      </c>
      <c r="E165" t="s">
        <v>427</v>
      </c>
      <c r="F165" t="s">
        <v>427</v>
      </c>
      <c r="G165" t="s">
        <v>427</v>
      </c>
      <c r="I165" t="s">
        <v>206</v>
      </c>
      <c r="L165" s="5" t="s">
        <v>206</v>
      </c>
      <c r="M165" s="1" t="s">
        <v>1</v>
      </c>
      <c r="N165" s="1"/>
      <c r="O165" s="2">
        <v>5.334273997805</v>
      </c>
      <c r="P165" s="1"/>
      <c r="Q165" s="1"/>
      <c r="R165" s="2">
        <v>1.8013386484571201</v>
      </c>
      <c r="S165" s="2"/>
      <c r="T165" s="1"/>
      <c r="U165" s="1"/>
      <c r="V165" s="1">
        <v>9</v>
      </c>
      <c r="W165" s="1"/>
      <c r="X165" s="1"/>
      <c r="Y165" s="1">
        <v>14</v>
      </c>
      <c r="Z165" s="1"/>
      <c r="AA165" s="1"/>
    </row>
    <row r="166" spans="1:27" x14ac:dyDescent="0.3">
      <c r="A166" t="s">
        <v>28</v>
      </c>
      <c r="B166" t="s">
        <v>424</v>
      </c>
      <c r="C166" t="s">
        <v>425</v>
      </c>
      <c r="D166" t="s">
        <v>207</v>
      </c>
      <c r="E166" t="s">
        <v>427</v>
      </c>
      <c r="F166" t="s">
        <v>427</v>
      </c>
      <c r="G166" t="s">
        <v>427</v>
      </c>
      <c r="I166" t="s">
        <v>207</v>
      </c>
      <c r="L166" s="5" t="s">
        <v>207</v>
      </c>
      <c r="M166" s="1" t="s">
        <v>1</v>
      </c>
      <c r="N166" s="1"/>
      <c r="O166" s="1"/>
      <c r="P166" s="2">
        <v>0.21711651236795401</v>
      </c>
      <c r="Q166" s="1"/>
      <c r="R166" s="2">
        <v>0.31847198665211301</v>
      </c>
      <c r="S166" s="2"/>
      <c r="T166" s="1"/>
      <c r="U166" s="1"/>
      <c r="V166" s="1"/>
      <c r="W166" s="1">
        <v>6</v>
      </c>
      <c r="X166" s="1"/>
      <c r="Y166" s="1">
        <v>11</v>
      </c>
      <c r="Z166" s="1"/>
      <c r="AA166" s="1"/>
    </row>
    <row r="167" spans="1:27" x14ac:dyDescent="0.3">
      <c r="A167" t="s">
        <v>28</v>
      </c>
      <c r="B167" t="s">
        <v>424</v>
      </c>
      <c r="C167" t="s">
        <v>425</v>
      </c>
      <c r="D167" t="s">
        <v>210</v>
      </c>
      <c r="E167" t="s">
        <v>427</v>
      </c>
      <c r="F167" t="s">
        <v>427</v>
      </c>
      <c r="G167" t="s">
        <v>427</v>
      </c>
      <c r="H167" t="s">
        <v>432</v>
      </c>
      <c r="I167" t="s">
        <v>208</v>
      </c>
      <c r="L167" s="5" t="s">
        <v>208</v>
      </c>
      <c r="M167" s="1" t="s">
        <v>1</v>
      </c>
      <c r="N167" s="2">
        <v>18.7146730577652</v>
      </c>
      <c r="O167" s="2">
        <v>0.67987024688366504</v>
      </c>
      <c r="P167" s="1"/>
      <c r="Q167" s="1"/>
      <c r="R167" s="1"/>
      <c r="S167" s="1"/>
      <c r="T167" s="1"/>
      <c r="U167" s="1">
        <v>118</v>
      </c>
      <c r="V167" s="1">
        <v>2</v>
      </c>
      <c r="W167" s="1"/>
      <c r="X167" s="1"/>
      <c r="Y167" s="1"/>
      <c r="Z167" s="1"/>
      <c r="AA167" s="1"/>
    </row>
    <row r="168" spans="1:27" x14ac:dyDescent="0.3">
      <c r="A168" t="s">
        <v>28</v>
      </c>
      <c r="B168" t="s">
        <v>424</v>
      </c>
      <c r="C168" t="s">
        <v>425</v>
      </c>
      <c r="D168" t="s">
        <v>209</v>
      </c>
      <c r="E168" t="s">
        <v>427</v>
      </c>
      <c r="F168" t="s">
        <v>427</v>
      </c>
      <c r="G168" t="s">
        <v>427</v>
      </c>
      <c r="I168" t="s">
        <v>209</v>
      </c>
      <c r="L168" s="5" t="s">
        <v>209</v>
      </c>
      <c r="M168" s="1" t="s">
        <v>1</v>
      </c>
      <c r="N168" s="1"/>
      <c r="O168" s="1"/>
      <c r="P168" s="2">
        <v>4.2260823404450303E-2</v>
      </c>
      <c r="Q168" s="2">
        <v>5.9270072449737199E-2</v>
      </c>
      <c r="R168" s="2">
        <v>0.40051695169842999</v>
      </c>
      <c r="S168" s="2"/>
      <c r="T168" s="1"/>
      <c r="U168" s="1"/>
      <c r="V168" s="1"/>
      <c r="W168" s="1">
        <v>2</v>
      </c>
      <c r="X168" s="1">
        <v>8</v>
      </c>
      <c r="Y168" s="1">
        <v>6</v>
      </c>
      <c r="Z168" s="1"/>
      <c r="AA168" s="1"/>
    </row>
    <row r="169" spans="1:27" x14ac:dyDescent="0.3">
      <c r="A169" t="s">
        <v>28</v>
      </c>
      <c r="B169" t="s">
        <v>424</v>
      </c>
      <c r="C169" t="s">
        <v>425</v>
      </c>
      <c r="D169" t="s">
        <v>210</v>
      </c>
      <c r="E169" t="s">
        <v>427</v>
      </c>
      <c r="F169" t="s">
        <v>427</v>
      </c>
      <c r="G169" t="s">
        <v>427</v>
      </c>
      <c r="I169" t="s">
        <v>210</v>
      </c>
      <c r="L169" s="5" t="s">
        <v>210</v>
      </c>
      <c r="M169" s="1" t="s">
        <v>1</v>
      </c>
      <c r="N169" s="1"/>
      <c r="O169" s="2">
        <v>3.0473785352581602</v>
      </c>
      <c r="P169" s="2">
        <v>6.8589466758608103E-3</v>
      </c>
      <c r="Q169" s="1"/>
      <c r="R169" s="1"/>
      <c r="S169" s="1"/>
      <c r="T169" s="1"/>
      <c r="U169" s="1"/>
      <c r="V169" s="1">
        <v>22</v>
      </c>
      <c r="W169" s="1">
        <v>1</v>
      </c>
      <c r="X169" s="1"/>
      <c r="Y169" s="1"/>
      <c r="Z169" s="1"/>
      <c r="AA169" s="1"/>
    </row>
    <row r="170" spans="1:27" x14ac:dyDescent="0.3">
      <c r="A170" t="s">
        <v>28</v>
      </c>
      <c r="B170" t="s">
        <v>424</v>
      </c>
      <c r="C170" t="s">
        <v>425</v>
      </c>
      <c r="D170" t="s">
        <v>211</v>
      </c>
      <c r="E170" t="s">
        <v>427</v>
      </c>
      <c r="F170" t="s">
        <v>427</v>
      </c>
      <c r="G170" t="s">
        <v>427</v>
      </c>
      <c r="I170" t="s">
        <v>211</v>
      </c>
      <c r="L170" s="5" t="s">
        <v>211</v>
      </c>
      <c r="M170" s="1" t="s">
        <v>1</v>
      </c>
      <c r="N170" s="2">
        <v>10.9928034817233</v>
      </c>
      <c r="O170" s="1"/>
      <c r="P170" s="1"/>
      <c r="Q170" s="1"/>
      <c r="R170" s="1"/>
      <c r="S170" s="1"/>
      <c r="T170" s="1"/>
      <c r="U170" s="1">
        <v>69</v>
      </c>
      <c r="V170" s="1"/>
      <c r="W170" s="1"/>
      <c r="X170" s="1"/>
      <c r="Y170" s="1"/>
      <c r="Z170" s="1"/>
      <c r="AA170" s="1"/>
    </row>
    <row r="171" spans="1:27" x14ac:dyDescent="0.3">
      <c r="A171" t="s">
        <v>28</v>
      </c>
      <c r="B171" t="s">
        <v>424</v>
      </c>
      <c r="C171" t="s">
        <v>425</v>
      </c>
      <c r="D171" t="s">
        <v>212</v>
      </c>
      <c r="E171" t="s">
        <v>440</v>
      </c>
      <c r="F171" t="s">
        <v>440</v>
      </c>
      <c r="G171" t="s">
        <v>440</v>
      </c>
      <c r="I171" t="s">
        <v>212</v>
      </c>
      <c r="L171" s="5" t="s">
        <v>212</v>
      </c>
      <c r="M171" s="1" t="s">
        <v>1</v>
      </c>
      <c r="N171" s="2">
        <v>3.0262886500306101E-2</v>
      </c>
      <c r="O171" s="1"/>
      <c r="P171" s="1"/>
      <c r="Q171" s="1"/>
      <c r="R171" s="2">
        <v>5.6771993256371804E-3</v>
      </c>
      <c r="S171" s="2"/>
      <c r="T171" s="1"/>
      <c r="U171" s="1">
        <v>3</v>
      </c>
      <c r="V171" s="1"/>
      <c r="W171" s="1"/>
      <c r="X171" s="1"/>
      <c r="Y171" s="1">
        <v>1</v>
      </c>
      <c r="Z171" s="1"/>
      <c r="AA171" s="1"/>
    </row>
    <row r="172" spans="1:27" x14ac:dyDescent="0.3">
      <c r="A172" t="s">
        <v>28</v>
      </c>
      <c r="B172" t="s">
        <v>424</v>
      </c>
      <c r="C172" t="s">
        <v>425</v>
      </c>
      <c r="D172" t="s">
        <v>213</v>
      </c>
      <c r="E172" t="s">
        <v>427</v>
      </c>
      <c r="F172" t="s">
        <v>427</v>
      </c>
      <c r="G172" t="s">
        <v>427</v>
      </c>
      <c r="I172" t="s">
        <v>213</v>
      </c>
      <c r="L172" s="5" t="s">
        <v>213</v>
      </c>
      <c r="M172" s="1" t="s">
        <v>1</v>
      </c>
      <c r="N172" s="1"/>
      <c r="O172" s="2">
        <v>8.1220501125013306E-2</v>
      </c>
      <c r="P172" s="1"/>
      <c r="Q172" s="1"/>
      <c r="R172" s="1"/>
      <c r="S172" s="1"/>
      <c r="T172" s="1"/>
      <c r="U172" s="1"/>
      <c r="V172" s="1">
        <v>2</v>
      </c>
      <c r="W172" s="1"/>
      <c r="X172" s="1"/>
      <c r="Y172" s="1"/>
      <c r="Z172" s="1"/>
      <c r="AA172" s="1"/>
    </row>
    <row r="173" spans="1:27" x14ac:dyDescent="0.3">
      <c r="A173" t="s">
        <v>28</v>
      </c>
      <c r="B173" t="s">
        <v>424</v>
      </c>
      <c r="C173" t="s">
        <v>425</v>
      </c>
      <c r="D173" t="s">
        <v>214</v>
      </c>
      <c r="E173" t="s">
        <v>433</v>
      </c>
      <c r="F173" t="s">
        <v>427</v>
      </c>
      <c r="G173" t="s">
        <v>427</v>
      </c>
      <c r="I173" t="s">
        <v>214</v>
      </c>
      <c r="L173" s="5" t="s">
        <v>214</v>
      </c>
      <c r="M173" s="1" t="s">
        <v>1</v>
      </c>
      <c r="N173" s="2">
        <v>18.136192175016301</v>
      </c>
      <c r="O173" s="1"/>
      <c r="P173" s="2">
        <v>0.43992464908697299</v>
      </c>
      <c r="Q173" s="2">
        <v>4.3729509024224801E-3</v>
      </c>
      <c r="R173" s="1"/>
      <c r="S173" s="1"/>
      <c r="T173" s="1"/>
      <c r="U173" s="1">
        <v>42</v>
      </c>
      <c r="V173" s="1"/>
      <c r="W173" s="1">
        <v>6</v>
      </c>
      <c r="X173" s="1">
        <v>1</v>
      </c>
      <c r="Y173" s="1"/>
      <c r="Z173" s="1"/>
      <c r="AA173" s="1"/>
    </row>
    <row r="174" spans="1:27" x14ac:dyDescent="0.3">
      <c r="A174" t="s">
        <v>28</v>
      </c>
      <c r="B174" t="s">
        <v>424</v>
      </c>
      <c r="C174" t="s">
        <v>425</v>
      </c>
      <c r="D174" t="s">
        <v>215</v>
      </c>
      <c r="E174" t="s">
        <v>426</v>
      </c>
      <c r="F174" t="s">
        <v>427</v>
      </c>
      <c r="G174" t="s">
        <v>427</v>
      </c>
      <c r="I174" t="s">
        <v>215</v>
      </c>
      <c r="L174" s="5" t="s">
        <v>215</v>
      </c>
      <c r="M174" s="1" t="s">
        <v>1</v>
      </c>
      <c r="N174" s="1"/>
      <c r="O174" s="2">
        <v>0.25672486141670797</v>
      </c>
      <c r="P174" s="2">
        <v>5.6206339109708701</v>
      </c>
      <c r="Q174" s="2">
        <v>0.55162676915759501</v>
      </c>
      <c r="R174" s="2">
        <v>5.6114229379038099</v>
      </c>
      <c r="S174" s="2">
        <f>T174/0.5</f>
        <v>4.6642580905971203</v>
      </c>
      <c r="T174" s="2">
        <v>2.3321290452985601</v>
      </c>
      <c r="U174" s="1"/>
      <c r="V174" s="1">
        <v>1</v>
      </c>
      <c r="W174" s="1">
        <v>72</v>
      </c>
      <c r="X174" s="1">
        <v>18</v>
      </c>
      <c r="Y174" s="1">
        <v>79</v>
      </c>
      <c r="Z174" s="1">
        <f>AA174/0.5</f>
        <v>140</v>
      </c>
      <c r="AA174" s="1">
        <v>70</v>
      </c>
    </row>
    <row r="175" spans="1:27" x14ac:dyDescent="0.3">
      <c r="A175" t="s">
        <v>28</v>
      </c>
      <c r="B175" t="s">
        <v>424</v>
      </c>
      <c r="C175" t="s">
        <v>425</v>
      </c>
      <c r="D175" t="s">
        <v>216</v>
      </c>
      <c r="E175" t="s">
        <v>426</v>
      </c>
      <c r="F175" t="s">
        <v>427</v>
      </c>
      <c r="G175" t="s">
        <v>427</v>
      </c>
      <c r="I175" t="s">
        <v>216</v>
      </c>
      <c r="L175" s="5" t="s">
        <v>216</v>
      </c>
      <c r="M175" s="1" t="s">
        <v>1</v>
      </c>
      <c r="N175" s="1"/>
      <c r="O175" s="2">
        <v>0.60741578991567902</v>
      </c>
      <c r="P175" s="1"/>
      <c r="Q175" s="1"/>
      <c r="R175" s="2">
        <v>0.19040362919567499</v>
      </c>
      <c r="S175" s="2"/>
      <c r="T175" s="1"/>
      <c r="U175" s="1"/>
      <c r="V175" s="1">
        <v>6</v>
      </c>
      <c r="W175" s="1"/>
      <c r="X175" s="1"/>
      <c r="Y175" s="1">
        <v>4</v>
      </c>
      <c r="Z175" s="1"/>
      <c r="AA175" s="1"/>
    </row>
    <row r="176" spans="1:27" x14ac:dyDescent="0.3">
      <c r="A176" t="s">
        <v>28</v>
      </c>
      <c r="B176" t="s">
        <v>441</v>
      </c>
      <c r="C176" t="s">
        <v>425</v>
      </c>
      <c r="D176" t="s">
        <v>217</v>
      </c>
      <c r="E176" t="s">
        <v>427</v>
      </c>
      <c r="F176" t="s">
        <v>427</v>
      </c>
      <c r="G176" t="s">
        <v>427</v>
      </c>
      <c r="I176" t="s">
        <v>217</v>
      </c>
      <c r="L176" s="5" t="s">
        <v>217</v>
      </c>
      <c r="M176" s="1" t="s">
        <v>1</v>
      </c>
      <c r="N176" s="2">
        <v>0.99811363085492799</v>
      </c>
      <c r="O176" s="1"/>
      <c r="P176" s="1"/>
      <c r="Q176" s="1"/>
      <c r="R176" s="1"/>
      <c r="S176" s="1"/>
      <c r="T176" s="1"/>
      <c r="U176" s="1">
        <v>9</v>
      </c>
      <c r="V176" s="1"/>
      <c r="W176" s="1"/>
      <c r="X176" s="1"/>
      <c r="Y176" s="1"/>
      <c r="Z176" s="1"/>
      <c r="AA176" s="1"/>
    </row>
    <row r="177" spans="1:27" x14ac:dyDescent="0.3">
      <c r="A177" t="s">
        <v>28</v>
      </c>
      <c r="B177" t="s">
        <v>424</v>
      </c>
      <c r="C177" t="s">
        <v>425</v>
      </c>
      <c r="D177" t="s">
        <v>218</v>
      </c>
      <c r="E177" t="s">
        <v>427</v>
      </c>
      <c r="F177" t="s">
        <v>427</v>
      </c>
      <c r="G177" t="s">
        <v>427</v>
      </c>
      <c r="I177" t="s">
        <v>218</v>
      </c>
      <c r="L177" s="5" t="s">
        <v>218</v>
      </c>
      <c r="M177" s="1" t="s">
        <v>1</v>
      </c>
      <c r="N177" s="1"/>
      <c r="O177" s="2">
        <v>0.89091560430436201</v>
      </c>
      <c r="P177" s="1"/>
      <c r="Q177" s="1"/>
      <c r="R177" s="1"/>
      <c r="S177" s="1"/>
      <c r="T177" s="1"/>
      <c r="U177" s="1"/>
      <c r="V177" s="1">
        <v>1</v>
      </c>
      <c r="W177" s="1"/>
      <c r="X177" s="1"/>
      <c r="Y177" s="1"/>
      <c r="Z177" s="1"/>
      <c r="AA177" s="1"/>
    </row>
    <row r="178" spans="1:27" x14ac:dyDescent="0.3">
      <c r="A178" t="s">
        <v>28</v>
      </c>
      <c r="B178" t="s">
        <v>424</v>
      </c>
      <c r="C178" t="s">
        <v>425</v>
      </c>
      <c r="D178" t="s">
        <v>219</v>
      </c>
      <c r="E178" t="s">
        <v>427</v>
      </c>
      <c r="F178" t="s">
        <v>427</v>
      </c>
      <c r="G178" t="s">
        <v>427</v>
      </c>
      <c r="I178" t="s">
        <v>219</v>
      </c>
      <c r="L178" s="5" t="s">
        <v>219</v>
      </c>
      <c r="M178" s="1" t="s">
        <v>1</v>
      </c>
      <c r="N178" s="1"/>
      <c r="O178" s="1"/>
      <c r="P178" s="2">
        <v>0.55581071891649902</v>
      </c>
      <c r="Q178" s="1"/>
      <c r="R178" s="1"/>
      <c r="S178" s="1"/>
      <c r="T178" s="1"/>
      <c r="U178" s="1"/>
      <c r="V178" s="1"/>
      <c r="W178" s="1">
        <v>1</v>
      </c>
      <c r="X178" s="1"/>
      <c r="Y178" s="1"/>
      <c r="Z178" s="1"/>
      <c r="AA178" s="1"/>
    </row>
    <row r="179" spans="1:27" x14ac:dyDescent="0.3">
      <c r="A179" t="s">
        <v>28</v>
      </c>
      <c r="B179" t="s">
        <v>424</v>
      </c>
      <c r="C179" t="s">
        <v>425</v>
      </c>
      <c r="D179" t="s">
        <v>462</v>
      </c>
      <c r="E179" t="s">
        <v>427</v>
      </c>
      <c r="F179" t="s">
        <v>427</v>
      </c>
      <c r="G179" t="s">
        <v>427</v>
      </c>
      <c r="H179" t="s">
        <v>432</v>
      </c>
      <c r="I179" t="s">
        <v>220</v>
      </c>
      <c r="L179" s="5" t="s">
        <v>220</v>
      </c>
      <c r="M179" s="1" t="s">
        <v>1</v>
      </c>
      <c r="N179" s="1"/>
      <c r="O179" s="1"/>
      <c r="P179" s="1"/>
      <c r="Q179" s="2">
        <v>2.14040872413154E-2</v>
      </c>
      <c r="R179" s="1"/>
      <c r="S179" s="1"/>
      <c r="T179" s="1"/>
      <c r="U179" s="1"/>
      <c r="V179" s="1"/>
      <c r="W179" s="1"/>
      <c r="X179" s="1">
        <v>2</v>
      </c>
      <c r="Y179" s="1"/>
      <c r="Z179" s="1"/>
      <c r="AA179" s="1"/>
    </row>
    <row r="180" spans="1:27" x14ac:dyDescent="0.3">
      <c r="A180" t="s">
        <v>28</v>
      </c>
      <c r="B180" t="s">
        <v>441</v>
      </c>
      <c r="C180" t="s">
        <v>425</v>
      </c>
      <c r="D180" t="s">
        <v>221</v>
      </c>
      <c r="E180" t="s">
        <v>427</v>
      </c>
      <c r="F180" t="s">
        <v>427</v>
      </c>
      <c r="G180" t="s">
        <v>427</v>
      </c>
      <c r="I180" t="s">
        <v>221</v>
      </c>
      <c r="L180" s="5" t="s">
        <v>221</v>
      </c>
      <c r="M180" s="1" t="s">
        <v>1</v>
      </c>
      <c r="N180" s="2">
        <v>0.477558990814821</v>
      </c>
      <c r="O180" s="1"/>
      <c r="P180" s="1"/>
      <c r="Q180" s="1"/>
      <c r="R180" s="1"/>
      <c r="S180" s="1"/>
      <c r="T180" s="1"/>
      <c r="U180" s="1">
        <v>2</v>
      </c>
      <c r="V180" s="1"/>
      <c r="W180" s="1"/>
      <c r="X180" s="1"/>
      <c r="Y180" s="1"/>
      <c r="Z180" s="1"/>
      <c r="AA180" s="1"/>
    </row>
    <row r="181" spans="1:27" x14ac:dyDescent="0.3">
      <c r="A181" t="s">
        <v>28</v>
      </c>
      <c r="B181" t="s">
        <v>424</v>
      </c>
      <c r="C181" t="s">
        <v>425</v>
      </c>
      <c r="D181" t="s">
        <v>222</v>
      </c>
      <c r="E181" t="s">
        <v>426</v>
      </c>
      <c r="F181" t="s">
        <v>427</v>
      </c>
      <c r="G181" t="s">
        <v>427</v>
      </c>
      <c r="I181" t="s">
        <v>222</v>
      </c>
      <c r="L181" s="5" t="s">
        <v>222</v>
      </c>
      <c r="M181" s="1" t="s">
        <v>1</v>
      </c>
      <c r="N181" s="1"/>
      <c r="O181" s="2">
        <v>2.41769307576077</v>
      </c>
      <c r="P181" s="2">
        <v>0.45522834615279001</v>
      </c>
      <c r="Q181" s="1"/>
      <c r="R181" s="2">
        <v>2.46891699349468</v>
      </c>
      <c r="S181" s="2"/>
      <c r="T181" s="1"/>
      <c r="U181" s="1"/>
      <c r="V181" s="1">
        <v>1</v>
      </c>
      <c r="W181" s="1">
        <v>3</v>
      </c>
      <c r="X181" s="1"/>
      <c r="Y181" s="1">
        <v>5</v>
      </c>
      <c r="Z181" s="1"/>
      <c r="AA181" s="1"/>
    </row>
    <row r="182" spans="1:27" x14ac:dyDescent="0.3">
      <c r="K182" s="1" t="s">
        <v>29</v>
      </c>
      <c r="L182" s="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3">
      <c r="A183" t="s">
        <v>29</v>
      </c>
      <c r="B183" t="s">
        <v>424</v>
      </c>
      <c r="C183" t="s">
        <v>425</v>
      </c>
      <c r="D183" t="s">
        <v>463</v>
      </c>
      <c r="E183" t="s">
        <v>427</v>
      </c>
      <c r="F183" t="s">
        <v>427</v>
      </c>
      <c r="G183" t="s">
        <v>427</v>
      </c>
      <c r="H183" t="s">
        <v>436</v>
      </c>
      <c r="I183" t="s">
        <v>223</v>
      </c>
      <c r="L183" s="5" t="s">
        <v>223</v>
      </c>
      <c r="M183" s="1" t="s">
        <v>1</v>
      </c>
      <c r="N183" s="2">
        <v>3.5897391231814998E-2</v>
      </c>
      <c r="O183" s="1"/>
      <c r="P183" s="1"/>
      <c r="Q183" s="1"/>
      <c r="R183" s="1"/>
      <c r="S183" s="1"/>
      <c r="T183" s="1"/>
      <c r="U183" s="1">
        <v>3</v>
      </c>
      <c r="V183" s="1"/>
      <c r="W183" s="1"/>
      <c r="X183" s="1"/>
      <c r="Y183" s="1"/>
      <c r="Z183" s="1"/>
      <c r="AA183" s="1"/>
    </row>
    <row r="184" spans="1:27" x14ac:dyDescent="0.3">
      <c r="K184" s="1" t="s">
        <v>30</v>
      </c>
      <c r="L184" s="5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3">
      <c r="A185" t="s">
        <v>30</v>
      </c>
      <c r="B185" t="s">
        <v>424</v>
      </c>
      <c r="C185" t="s">
        <v>425</v>
      </c>
      <c r="D185" t="s">
        <v>224</v>
      </c>
      <c r="E185" t="s">
        <v>426</v>
      </c>
      <c r="F185" t="s">
        <v>427</v>
      </c>
      <c r="G185" t="s">
        <v>427</v>
      </c>
      <c r="I185" t="s">
        <v>224</v>
      </c>
      <c r="L185" s="5" t="s">
        <v>224</v>
      </c>
      <c r="M185" s="1" t="s">
        <v>1</v>
      </c>
      <c r="N185" s="1"/>
      <c r="O185" s="1"/>
      <c r="P185" s="1"/>
      <c r="Q185" s="1"/>
      <c r="R185" s="2">
        <v>8.3193852975890294</v>
      </c>
      <c r="S185" s="2"/>
      <c r="T185" s="1"/>
      <c r="U185" s="1"/>
      <c r="V185" s="1"/>
      <c r="W185" s="1"/>
      <c r="X185" s="1"/>
      <c r="Y185" s="1">
        <v>119</v>
      </c>
      <c r="Z185" s="1"/>
      <c r="AA185" s="1"/>
    </row>
    <row r="186" spans="1:27" x14ac:dyDescent="0.3">
      <c r="K186" s="1" t="s">
        <v>31</v>
      </c>
      <c r="L186" s="5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3">
      <c r="A187" t="s">
        <v>31</v>
      </c>
      <c r="B187" t="s">
        <v>424</v>
      </c>
      <c r="C187" t="s">
        <v>425</v>
      </c>
      <c r="D187" t="s">
        <v>225</v>
      </c>
      <c r="E187" t="s">
        <v>426</v>
      </c>
      <c r="F187" t="s">
        <v>427</v>
      </c>
      <c r="G187" t="s">
        <v>427</v>
      </c>
      <c r="I187" t="s">
        <v>225</v>
      </c>
      <c r="L187" s="5" t="s">
        <v>225</v>
      </c>
      <c r="M187" s="1" t="s">
        <v>1</v>
      </c>
      <c r="N187" s="2">
        <v>0.35164058924132802</v>
      </c>
      <c r="O187" s="1"/>
      <c r="P187" s="1"/>
      <c r="Q187" s="1"/>
      <c r="R187" s="1"/>
      <c r="S187" s="1"/>
      <c r="T187" s="1"/>
      <c r="U187" s="1">
        <v>3</v>
      </c>
      <c r="V187" s="1"/>
      <c r="W187" s="1"/>
      <c r="X187" s="1"/>
      <c r="Y187" s="1"/>
      <c r="Z187" s="1"/>
      <c r="AA187" s="1"/>
    </row>
    <row r="188" spans="1:27" x14ac:dyDescent="0.3">
      <c r="K188" s="1" t="s">
        <v>32</v>
      </c>
      <c r="L188" s="5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3">
      <c r="A189" t="s">
        <v>32</v>
      </c>
      <c r="B189" t="s">
        <v>424</v>
      </c>
      <c r="C189" t="s">
        <v>425</v>
      </c>
      <c r="D189" t="s">
        <v>226</v>
      </c>
      <c r="E189" t="s">
        <v>427</v>
      </c>
      <c r="F189" t="s">
        <v>427</v>
      </c>
      <c r="G189" t="s">
        <v>427</v>
      </c>
      <c r="I189" t="s">
        <v>226</v>
      </c>
      <c r="L189" s="5" t="s">
        <v>226</v>
      </c>
      <c r="M189" s="1" t="s">
        <v>1</v>
      </c>
      <c r="N189" s="1"/>
      <c r="O189" s="2">
        <v>0.42179061376348997</v>
      </c>
      <c r="P189" s="1"/>
      <c r="Q189" s="1"/>
      <c r="R189" s="1"/>
      <c r="S189" s="1"/>
      <c r="T189" s="1"/>
      <c r="U189" s="1"/>
      <c r="V189" s="1">
        <v>1</v>
      </c>
      <c r="W189" s="1"/>
      <c r="X189" s="1"/>
      <c r="Y189" s="1"/>
      <c r="Z189" s="1"/>
      <c r="AA189" s="1"/>
    </row>
    <row r="190" spans="1:27" x14ac:dyDescent="0.3">
      <c r="A190" t="s">
        <v>32</v>
      </c>
      <c r="B190" t="s">
        <v>424</v>
      </c>
      <c r="C190" t="s">
        <v>425</v>
      </c>
      <c r="D190" t="s">
        <v>227</v>
      </c>
      <c r="E190" t="s">
        <v>427</v>
      </c>
      <c r="F190" t="s">
        <v>427</v>
      </c>
      <c r="G190" t="s">
        <v>427</v>
      </c>
      <c r="I190" t="s">
        <v>227</v>
      </c>
      <c r="L190" s="5" t="s">
        <v>227</v>
      </c>
      <c r="M190" s="1" t="s">
        <v>1</v>
      </c>
      <c r="N190" s="2">
        <v>3.36477914449187</v>
      </c>
      <c r="O190" s="2">
        <v>3.4828683378588902E-2</v>
      </c>
      <c r="P190" s="1"/>
      <c r="Q190" s="1"/>
      <c r="R190" s="1"/>
      <c r="S190" s="1"/>
      <c r="T190" s="1"/>
      <c r="U190" s="1">
        <v>203</v>
      </c>
      <c r="V190" s="1">
        <v>1</v>
      </c>
      <c r="W190" s="1"/>
      <c r="X190" s="1"/>
      <c r="Y190" s="1"/>
      <c r="Z190" s="1"/>
      <c r="AA190" s="1"/>
    </row>
    <row r="191" spans="1:27" x14ac:dyDescent="0.3">
      <c r="A191" t="s">
        <v>32</v>
      </c>
      <c r="B191" t="s">
        <v>424</v>
      </c>
      <c r="C191" t="s">
        <v>425</v>
      </c>
      <c r="D191" t="s">
        <v>228</v>
      </c>
      <c r="E191" t="s">
        <v>427</v>
      </c>
      <c r="F191" t="s">
        <v>427</v>
      </c>
      <c r="G191" t="s">
        <v>427</v>
      </c>
      <c r="I191" t="s">
        <v>228</v>
      </c>
      <c r="L191" s="5" t="s">
        <v>228</v>
      </c>
      <c r="M191" s="1" t="s">
        <v>1</v>
      </c>
      <c r="N191" s="2">
        <v>7.8598832161001999</v>
      </c>
      <c r="O191" s="2">
        <v>15.009292540212</v>
      </c>
      <c r="P191" s="1"/>
      <c r="Q191" s="1"/>
      <c r="R191" s="1"/>
      <c r="S191" s="1"/>
      <c r="T191" s="1"/>
      <c r="U191" s="1">
        <v>46</v>
      </c>
      <c r="V191" s="1">
        <v>37</v>
      </c>
      <c r="W191" s="1"/>
      <c r="X191" s="1"/>
      <c r="Y191" s="1"/>
      <c r="Z191" s="1"/>
      <c r="AA191" s="1"/>
    </row>
    <row r="192" spans="1:27" x14ac:dyDescent="0.3">
      <c r="A192" t="s">
        <v>32</v>
      </c>
      <c r="B192" t="s">
        <v>424</v>
      </c>
      <c r="C192" t="s">
        <v>425</v>
      </c>
      <c r="D192" t="s">
        <v>229</v>
      </c>
      <c r="E192" t="s">
        <v>426</v>
      </c>
      <c r="F192" t="s">
        <v>427</v>
      </c>
      <c r="G192" t="s">
        <v>427</v>
      </c>
      <c r="I192" t="s">
        <v>229</v>
      </c>
      <c r="L192" s="5" t="s">
        <v>229</v>
      </c>
      <c r="M192" s="1" t="s">
        <v>1</v>
      </c>
      <c r="N192" s="1"/>
      <c r="O192" s="2">
        <v>4.8784161493015503E-3</v>
      </c>
      <c r="P192" s="1"/>
      <c r="Q192" s="1"/>
      <c r="R192" s="1"/>
      <c r="S192" s="1"/>
      <c r="T192" s="1"/>
      <c r="U192" s="1"/>
      <c r="V192" s="1">
        <v>1</v>
      </c>
      <c r="W192" s="1"/>
      <c r="X192" s="1"/>
      <c r="Y192" s="1"/>
      <c r="Z192" s="1"/>
      <c r="AA192" s="1"/>
    </row>
    <row r="193" spans="1:27" x14ac:dyDescent="0.3">
      <c r="K193" s="1" t="s">
        <v>33</v>
      </c>
      <c r="L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3">
      <c r="A194" t="s">
        <v>33</v>
      </c>
      <c r="B194" t="s">
        <v>424</v>
      </c>
      <c r="C194" t="s">
        <v>425</v>
      </c>
      <c r="D194" t="s">
        <v>464</v>
      </c>
      <c r="E194" t="s">
        <v>427</v>
      </c>
      <c r="F194" t="s">
        <v>427</v>
      </c>
      <c r="G194" t="s">
        <v>427</v>
      </c>
      <c r="H194" t="s">
        <v>432</v>
      </c>
      <c r="I194" t="s">
        <v>230</v>
      </c>
      <c r="L194" s="5" t="s">
        <v>230</v>
      </c>
      <c r="M194" s="1" t="s">
        <v>1</v>
      </c>
      <c r="N194" s="1"/>
      <c r="O194" s="1"/>
      <c r="P194" s="1"/>
      <c r="Q194" s="1"/>
      <c r="R194" s="1"/>
      <c r="S194" s="2">
        <f>T194/0.5</f>
        <v>0.13481694405696359</v>
      </c>
      <c r="T194" s="2">
        <v>6.7408472028481797E-2</v>
      </c>
      <c r="U194" s="1"/>
      <c r="V194" s="1"/>
      <c r="W194" s="1"/>
      <c r="X194" s="1"/>
      <c r="Y194" s="1"/>
      <c r="Z194" s="1">
        <f>AA194/0.5</f>
        <v>14</v>
      </c>
      <c r="AA194" s="1">
        <v>7</v>
      </c>
    </row>
    <row r="195" spans="1:27" x14ac:dyDescent="0.3">
      <c r="A195" t="s">
        <v>33</v>
      </c>
      <c r="B195" t="s">
        <v>424</v>
      </c>
      <c r="C195" t="s">
        <v>425</v>
      </c>
      <c r="D195" t="s">
        <v>231</v>
      </c>
      <c r="E195" t="s">
        <v>427</v>
      </c>
      <c r="F195" t="s">
        <v>427</v>
      </c>
      <c r="G195" t="s">
        <v>427</v>
      </c>
      <c r="I195" t="s">
        <v>231</v>
      </c>
      <c r="L195" s="5" t="s">
        <v>231</v>
      </c>
      <c r="M195" s="1" t="s">
        <v>1</v>
      </c>
      <c r="N195" s="1"/>
      <c r="O195" s="1"/>
      <c r="P195" s="2">
        <v>6.5123637298180104E-2</v>
      </c>
      <c r="Q195" s="2">
        <v>0.70448234249639796</v>
      </c>
      <c r="R195" s="1"/>
      <c r="S195" s="1"/>
      <c r="T195" s="1"/>
      <c r="U195" s="1"/>
      <c r="V195" s="1"/>
      <c r="W195" s="1">
        <v>6</v>
      </c>
      <c r="X195" s="1">
        <v>40</v>
      </c>
      <c r="Y195" s="1"/>
      <c r="Z195" s="1"/>
      <c r="AA195" s="1"/>
    </row>
    <row r="196" spans="1:27" x14ac:dyDescent="0.3">
      <c r="A196" t="s">
        <v>33</v>
      </c>
      <c r="B196" t="s">
        <v>424</v>
      </c>
      <c r="C196" t="s">
        <v>425</v>
      </c>
      <c r="D196" t="s">
        <v>465</v>
      </c>
      <c r="E196" t="s">
        <v>426</v>
      </c>
      <c r="F196" t="s">
        <v>427</v>
      </c>
      <c r="G196" t="s">
        <v>427</v>
      </c>
      <c r="H196" t="s">
        <v>432</v>
      </c>
      <c r="I196" t="s">
        <v>232</v>
      </c>
      <c r="L196" s="5" t="s">
        <v>232</v>
      </c>
      <c r="M196" s="1" t="s">
        <v>1</v>
      </c>
      <c r="N196" s="1"/>
      <c r="O196" s="2">
        <v>3.2413332126686997E-2</v>
      </c>
      <c r="P196" s="1"/>
      <c r="Q196" s="1"/>
      <c r="R196" s="1"/>
      <c r="S196" s="1"/>
      <c r="T196" s="1"/>
      <c r="U196" s="1"/>
      <c r="V196" s="1">
        <v>1</v>
      </c>
      <c r="W196" s="1"/>
      <c r="X196" s="1"/>
      <c r="Y196" s="1"/>
      <c r="Z196" s="1"/>
      <c r="AA196" s="1"/>
    </row>
    <row r="197" spans="1:27" x14ac:dyDescent="0.3">
      <c r="A197" t="s">
        <v>33</v>
      </c>
      <c r="B197" t="s">
        <v>424</v>
      </c>
      <c r="C197" t="s">
        <v>425</v>
      </c>
      <c r="D197" t="s">
        <v>466</v>
      </c>
      <c r="E197" t="s">
        <v>427</v>
      </c>
      <c r="F197" t="s">
        <v>427</v>
      </c>
      <c r="G197" t="s">
        <v>427</v>
      </c>
      <c r="H197" t="s">
        <v>432</v>
      </c>
      <c r="I197" t="s">
        <v>233</v>
      </c>
      <c r="L197" s="5" t="s">
        <v>233</v>
      </c>
      <c r="M197" s="1" t="s">
        <v>1</v>
      </c>
      <c r="N197" s="1"/>
      <c r="O197" s="2">
        <v>7.1813237826636603E-3</v>
      </c>
      <c r="P197" s="1"/>
      <c r="Q197" s="1"/>
      <c r="R197" s="1"/>
      <c r="S197" s="1"/>
      <c r="T197" s="1"/>
      <c r="U197" s="1"/>
      <c r="V197" s="1">
        <v>1</v>
      </c>
      <c r="W197" s="1"/>
      <c r="X197" s="1"/>
      <c r="Y197" s="1"/>
      <c r="Z197" s="1"/>
      <c r="AA197" s="1"/>
    </row>
    <row r="198" spans="1:27" x14ac:dyDescent="0.3">
      <c r="A198" t="s">
        <v>33</v>
      </c>
      <c r="B198" t="s">
        <v>424</v>
      </c>
      <c r="C198" t="s">
        <v>425</v>
      </c>
      <c r="D198" t="s">
        <v>234</v>
      </c>
      <c r="E198" t="s">
        <v>427</v>
      </c>
      <c r="F198" t="s">
        <v>427</v>
      </c>
      <c r="G198" t="s">
        <v>427</v>
      </c>
      <c r="I198" t="s">
        <v>234</v>
      </c>
      <c r="L198" s="5" t="s">
        <v>234</v>
      </c>
      <c r="M198" s="1" t="s">
        <v>1</v>
      </c>
      <c r="N198" s="1"/>
      <c r="O198" s="1"/>
      <c r="P198" s="1"/>
      <c r="Q198" s="1"/>
      <c r="R198" s="2">
        <v>1.25758785670729</v>
      </c>
      <c r="S198" s="2"/>
      <c r="T198" s="1"/>
      <c r="U198" s="1"/>
      <c r="V198" s="1"/>
      <c r="W198" s="1"/>
      <c r="X198" s="1"/>
      <c r="Y198" s="1">
        <v>27</v>
      </c>
      <c r="Z198" s="1"/>
      <c r="AA198" s="1"/>
    </row>
    <row r="199" spans="1:27" x14ac:dyDescent="0.3">
      <c r="A199" t="s">
        <v>33</v>
      </c>
      <c r="B199" t="s">
        <v>424</v>
      </c>
      <c r="C199" t="s">
        <v>425</v>
      </c>
      <c r="D199" t="s">
        <v>235</v>
      </c>
      <c r="E199" t="s">
        <v>427</v>
      </c>
      <c r="F199" t="s">
        <v>427</v>
      </c>
      <c r="G199" t="s">
        <v>427</v>
      </c>
      <c r="I199" t="s">
        <v>235</v>
      </c>
      <c r="L199" s="5" t="s">
        <v>235</v>
      </c>
      <c r="M199" s="1" t="s">
        <v>1</v>
      </c>
      <c r="N199" s="1"/>
      <c r="O199" s="2">
        <v>2.4736496852872599E-2</v>
      </c>
      <c r="P199" s="1"/>
      <c r="Q199" s="1"/>
      <c r="R199" s="1"/>
      <c r="S199" s="1"/>
      <c r="T199" s="1"/>
      <c r="U199" s="1"/>
      <c r="V199" s="1">
        <v>3</v>
      </c>
      <c r="W199" s="1"/>
      <c r="X199" s="1"/>
      <c r="Y199" s="1"/>
      <c r="Z199" s="1"/>
      <c r="AA199" s="1"/>
    </row>
    <row r="200" spans="1:27" x14ac:dyDescent="0.3">
      <c r="A200" t="s">
        <v>33</v>
      </c>
      <c r="B200" t="s">
        <v>424</v>
      </c>
      <c r="C200" t="s">
        <v>425</v>
      </c>
      <c r="D200" t="s">
        <v>466</v>
      </c>
      <c r="E200" t="s">
        <v>427</v>
      </c>
      <c r="F200" t="s">
        <v>427</v>
      </c>
      <c r="G200" t="s">
        <v>427</v>
      </c>
      <c r="H200" t="s">
        <v>436</v>
      </c>
      <c r="I200" t="s">
        <v>236</v>
      </c>
      <c r="L200" s="5" t="s">
        <v>236</v>
      </c>
      <c r="M200" s="1" t="s">
        <v>1</v>
      </c>
      <c r="N200" s="1"/>
      <c r="O200" s="1"/>
      <c r="P200" s="1"/>
      <c r="Q200" s="1"/>
      <c r="R200" s="2">
        <v>9.5042735013693605E-2</v>
      </c>
      <c r="S200" s="2"/>
      <c r="T200" s="1"/>
      <c r="U200" s="1"/>
      <c r="V200" s="1"/>
      <c r="W200" s="1"/>
      <c r="X200" s="1"/>
      <c r="Y200" s="1">
        <v>5</v>
      </c>
      <c r="Z200" s="1"/>
      <c r="AA200" s="1"/>
    </row>
    <row r="201" spans="1:27" x14ac:dyDescent="0.3">
      <c r="A201" t="s">
        <v>33</v>
      </c>
      <c r="B201" t="s">
        <v>424</v>
      </c>
      <c r="C201" t="s">
        <v>425</v>
      </c>
      <c r="D201" t="s">
        <v>237</v>
      </c>
      <c r="E201" t="s">
        <v>427</v>
      </c>
      <c r="F201" t="s">
        <v>427</v>
      </c>
      <c r="G201" t="s">
        <v>427</v>
      </c>
      <c r="I201" t="s">
        <v>237</v>
      </c>
      <c r="L201" s="5" t="s">
        <v>237</v>
      </c>
      <c r="M201" s="1" t="s">
        <v>1</v>
      </c>
      <c r="N201" s="1"/>
      <c r="O201" s="1"/>
      <c r="P201" s="1"/>
      <c r="Q201" s="1"/>
      <c r="R201" s="2">
        <v>0.114412945589665</v>
      </c>
      <c r="S201" s="2"/>
      <c r="T201" s="1"/>
      <c r="U201" s="1"/>
      <c r="V201" s="1"/>
      <c r="W201" s="1"/>
      <c r="X201" s="1"/>
      <c r="Y201" s="1">
        <v>5</v>
      </c>
      <c r="Z201" s="1"/>
      <c r="AA201" s="1"/>
    </row>
    <row r="202" spans="1:27" x14ac:dyDescent="0.3">
      <c r="A202" t="s">
        <v>33</v>
      </c>
      <c r="B202" t="s">
        <v>441</v>
      </c>
      <c r="C202" t="s">
        <v>425</v>
      </c>
      <c r="D202" t="s">
        <v>238</v>
      </c>
      <c r="E202" t="s">
        <v>427</v>
      </c>
      <c r="F202" t="s">
        <v>427</v>
      </c>
      <c r="G202" t="s">
        <v>427</v>
      </c>
      <c r="I202" t="s">
        <v>238</v>
      </c>
      <c r="L202" s="5" t="s">
        <v>238</v>
      </c>
      <c r="M202" s="1" t="s">
        <v>1</v>
      </c>
      <c r="N202" s="2">
        <v>6.9558162191665296E-3</v>
      </c>
      <c r="O202" s="1"/>
      <c r="P202" s="1"/>
      <c r="Q202" s="1"/>
      <c r="R202" s="1"/>
      <c r="S202" s="1"/>
      <c r="T202" s="1"/>
      <c r="U202" s="1">
        <v>1</v>
      </c>
      <c r="V202" s="1"/>
      <c r="W202" s="1"/>
      <c r="X202" s="1"/>
      <c r="Y202" s="1"/>
      <c r="Z202" s="1"/>
      <c r="AA202" s="1"/>
    </row>
    <row r="203" spans="1:27" x14ac:dyDescent="0.3">
      <c r="A203" t="s">
        <v>33</v>
      </c>
      <c r="B203" t="s">
        <v>424</v>
      </c>
      <c r="C203" t="s">
        <v>425</v>
      </c>
      <c r="D203" t="s">
        <v>239</v>
      </c>
      <c r="E203" t="s">
        <v>427</v>
      </c>
      <c r="F203" t="s">
        <v>427</v>
      </c>
      <c r="G203" t="s">
        <v>427</v>
      </c>
      <c r="I203" t="s">
        <v>239</v>
      </c>
      <c r="L203" s="5" t="s">
        <v>239</v>
      </c>
      <c r="M203" s="1" t="s">
        <v>1</v>
      </c>
      <c r="N203" s="1"/>
      <c r="O203" s="2">
        <v>7.0059803325817098E-3</v>
      </c>
      <c r="P203" s="1"/>
      <c r="Q203" s="1"/>
      <c r="R203" s="1"/>
      <c r="S203" s="1"/>
      <c r="T203" s="1"/>
      <c r="U203" s="1"/>
      <c r="V203" s="1">
        <v>1</v>
      </c>
      <c r="W203" s="1"/>
      <c r="X203" s="1"/>
      <c r="Y203" s="1"/>
      <c r="Z203" s="1"/>
      <c r="AA203" s="1"/>
    </row>
    <row r="204" spans="1:27" x14ac:dyDescent="0.3">
      <c r="K204" s="1" t="s">
        <v>34</v>
      </c>
      <c r="L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3">
      <c r="A205" t="s">
        <v>34</v>
      </c>
      <c r="B205" t="s">
        <v>424</v>
      </c>
      <c r="C205" t="s">
        <v>425</v>
      </c>
      <c r="D205" t="s">
        <v>240</v>
      </c>
      <c r="E205" t="s">
        <v>427</v>
      </c>
      <c r="F205" t="s">
        <v>427</v>
      </c>
      <c r="G205" t="s">
        <v>427</v>
      </c>
      <c r="I205" t="s">
        <v>240</v>
      </c>
      <c r="L205" s="5" t="s">
        <v>240</v>
      </c>
      <c r="M205" s="1" t="s">
        <v>1</v>
      </c>
      <c r="N205" s="2">
        <v>4.4741372680529801E-2</v>
      </c>
      <c r="O205" s="2">
        <v>0.65341357945949397</v>
      </c>
      <c r="P205" s="1"/>
      <c r="Q205" s="1"/>
      <c r="R205" s="2">
        <v>9.2676466234795696E-2</v>
      </c>
      <c r="S205" s="2"/>
      <c r="T205" s="1"/>
      <c r="U205" s="1">
        <v>6</v>
      </c>
      <c r="V205" s="1">
        <v>17</v>
      </c>
      <c r="W205" s="1"/>
      <c r="X205" s="1"/>
      <c r="Y205" s="1">
        <v>2</v>
      </c>
      <c r="Z205" s="1"/>
      <c r="AA205" s="1"/>
    </row>
    <row r="206" spans="1:27" x14ac:dyDescent="0.3">
      <c r="A206" t="s">
        <v>34</v>
      </c>
      <c r="B206" t="s">
        <v>424</v>
      </c>
      <c r="C206" t="s">
        <v>425</v>
      </c>
      <c r="D206" t="s">
        <v>241</v>
      </c>
      <c r="E206" t="s">
        <v>434</v>
      </c>
      <c r="F206" t="s">
        <v>434</v>
      </c>
      <c r="G206" t="s">
        <v>434</v>
      </c>
      <c r="I206" t="s">
        <v>241</v>
      </c>
      <c r="L206" s="5" t="s">
        <v>241</v>
      </c>
      <c r="M206" s="1" t="s">
        <v>1</v>
      </c>
      <c r="N206" s="2">
        <v>12.330443545375701</v>
      </c>
      <c r="O206" s="2">
        <v>2.7977412472081902</v>
      </c>
      <c r="P206" s="1"/>
      <c r="Q206" s="2">
        <v>1.5612356068081999E-2</v>
      </c>
      <c r="R206" s="2">
        <v>0.103489532930138</v>
      </c>
      <c r="S206" s="2"/>
      <c r="T206" s="1"/>
      <c r="U206" s="1">
        <v>20</v>
      </c>
      <c r="V206" s="1">
        <v>5</v>
      </c>
      <c r="W206" s="1"/>
      <c r="X206" s="1">
        <v>2</v>
      </c>
      <c r="Y206" s="1">
        <v>2</v>
      </c>
      <c r="Z206" s="1"/>
      <c r="AA206" s="1"/>
    </row>
    <row r="207" spans="1:27" x14ac:dyDescent="0.3">
      <c r="A207" t="s">
        <v>34</v>
      </c>
      <c r="B207" t="s">
        <v>424</v>
      </c>
      <c r="C207" t="s">
        <v>425</v>
      </c>
      <c r="D207" t="s">
        <v>242</v>
      </c>
      <c r="E207" t="s">
        <v>427</v>
      </c>
      <c r="F207" t="s">
        <v>427</v>
      </c>
      <c r="G207" t="s">
        <v>427</v>
      </c>
      <c r="I207" t="s">
        <v>242</v>
      </c>
      <c r="L207" s="5" t="s">
        <v>242</v>
      </c>
      <c r="M207" s="1" t="s">
        <v>1</v>
      </c>
      <c r="N207" s="1"/>
      <c r="O207" s="2">
        <v>1.4991840613103401E-2</v>
      </c>
      <c r="P207" s="1"/>
      <c r="Q207" s="1"/>
      <c r="R207" s="1"/>
      <c r="S207" s="1"/>
      <c r="T207" s="1"/>
      <c r="U207" s="1"/>
      <c r="V207" s="1">
        <v>1</v>
      </c>
      <c r="W207" s="1"/>
      <c r="X207" s="1"/>
      <c r="Y207" s="1"/>
      <c r="Z207" s="1"/>
      <c r="AA207" s="1"/>
    </row>
    <row r="208" spans="1:27" x14ac:dyDescent="0.3">
      <c r="A208" t="s">
        <v>34</v>
      </c>
      <c r="B208" t="s">
        <v>424</v>
      </c>
      <c r="C208" t="s">
        <v>425</v>
      </c>
      <c r="D208" t="s">
        <v>243</v>
      </c>
      <c r="E208" t="s">
        <v>427</v>
      </c>
      <c r="F208" t="s">
        <v>427</v>
      </c>
      <c r="G208" t="s">
        <v>427</v>
      </c>
      <c r="I208" t="s">
        <v>243</v>
      </c>
      <c r="L208" s="5" t="s">
        <v>243</v>
      </c>
      <c r="M208" s="1" t="s">
        <v>1</v>
      </c>
      <c r="N208" s="1"/>
      <c r="O208" s="2">
        <v>1.60176644229604</v>
      </c>
      <c r="P208" s="1"/>
      <c r="Q208" s="1"/>
      <c r="R208" s="1"/>
      <c r="S208" s="1"/>
      <c r="T208" s="1"/>
      <c r="U208" s="1"/>
      <c r="V208" s="1">
        <v>50</v>
      </c>
      <c r="W208" s="1"/>
      <c r="X208" s="1"/>
      <c r="Y208" s="1"/>
      <c r="Z208" s="1"/>
      <c r="AA208" s="1"/>
    </row>
    <row r="209" spans="1:27" x14ac:dyDescent="0.3">
      <c r="A209" t="s">
        <v>34</v>
      </c>
      <c r="B209" t="s">
        <v>424</v>
      </c>
      <c r="C209" t="s">
        <v>425</v>
      </c>
      <c r="D209" t="s">
        <v>467</v>
      </c>
      <c r="E209" t="s">
        <v>427</v>
      </c>
      <c r="F209" t="s">
        <v>427</v>
      </c>
      <c r="G209" t="s">
        <v>427</v>
      </c>
      <c r="H209" t="s">
        <v>436</v>
      </c>
      <c r="I209" t="s">
        <v>244</v>
      </c>
      <c r="L209" s="5" t="s">
        <v>244</v>
      </c>
      <c r="M209" s="1" t="s">
        <v>1</v>
      </c>
      <c r="N209" s="1"/>
      <c r="O209" s="2">
        <v>1.0092134567806901</v>
      </c>
      <c r="P209" s="1"/>
      <c r="Q209" s="1"/>
      <c r="R209" s="1"/>
      <c r="S209" s="1"/>
      <c r="T209" s="1"/>
      <c r="U209" s="1"/>
      <c r="V209" s="1">
        <v>22</v>
      </c>
      <c r="W209" s="1"/>
      <c r="X209" s="1"/>
      <c r="Y209" s="1"/>
      <c r="Z209" s="1"/>
      <c r="AA209" s="1"/>
    </row>
    <row r="210" spans="1:27" x14ac:dyDescent="0.3">
      <c r="A210" t="s">
        <v>34</v>
      </c>
      <c r="B210" t="s">
        <v>424</v>
      </c>
      <c r="C210" t="s">
        <v>425</v>
      </c>
      <c r="D210" t="s">
        <v>245</v>
      </c>
      <c r="E210" t="s">
        <v>427</v>
      </c>
      <c r="F210" t="s">
        <v>427</v>
      </c>
      <c r="G210" t="s">
        <v>427</v>
      </c>
      <c r="I210" t="s">
        <v>245</v>
      </c>
      <c r="L210" s="5" t="s">
        <v>245</v>
      </c>
      <c r="M210" s="1" t="s">
        <v>1</v>
      </c>
      <c r="N210" s="2">
        <v>3.3695678803105297E-2</v>
      </c>
      <c r="O210" s="2">
        <v>0.135262100778935</v>
      </c>
      <c r="P210" s="1"/>
      <c r="Q210" s="1"/>
      <c r="R210" s="1"/>
      <c r="S210" s="1"/>
      <c r="T210" s="1"/>
      <c r="U210" s="1">
        <v>3</v>
      </c>
      <c r="V210" s="1">
        <v>7</v>
      </c>
      <c r="W210" s="1"/>
      <c r="X210" s="1"/>
      <c r="Y210" s="1"/>
      <c r="Z210" s="1"/>
      <c r="AA210" s="1"/>
    </row>
    <row r="211" spans="1:27" x14ac:dyDescent="0.3">
      <c r="A211" t="s">
        <v>34</v>
      </c>
      <c r="B211" t="s">
        <v>424</v>
      </c>
      <c r="C211" t="s">
        <v>425</v>
      </c>
      <c r="D211" t="s">
        <v>246</v>
      </c>
      <c r="E211" t="s">
        <v>427</v>
      </c>
      <c r="F211" t="s">
        <v>427</v>
      </c>
      <c r="G211" t="s">
        <v>427</v>
      </c>
      <c r="I211" t="s">
        <v>246</v>
      </c>
      <c r="L211" s="5" t="s">
        <v>246</v>
      </c>
      <c r="M211" s="1" t="s">
        <v>1</v>
      </c>
      <c r="N211" s="1"/>
      <c r="O211" s="2">
        <v>2.2149152951082201E-2</v>
      </c>
      <c r="P211" s="1"/>
      <c r="Q211" s="1"/>
      <c r="R211" s="1"/>
      <c r="S211" s="1"/>
      <c r="T211" s="1"/>
      <c r="U211" s="1"/>
      <c r="V211" s="1">
        <v>2</v>
      </c>
      <c r="W211" s="1"/>
      <c r="X211" s="1"/>
      <c r="Y211" s="1"/>
      <c r="Z211" s="1"/>
      <c r="AA211" s="1"/>
    </row>
    <row r="212" spans="1:27" x14ac:dyDescent="0.3">
      <c r="K212" s="1" t="s">
        <v>35</v>
      </c>
      <c r="L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3">
      <c r="A213" t="s">
        <v>35</v>
      </c>
      <c r="B213" t="s">
        <v>424</v>
      </c>
      <c r="C213" t="s">
        <v>425</v>
      </c>
      <c r="D213" t="s">
        <v>247</v>
      </c>
      <c r="E213" t="s">
        <v>426</v>
      </c>
      <c r="F213" t="s">
        <v>427</v>
      </c>
      <c r="G213" t="s">
        <v>427</v>
      </c>
      <c r="I213" t="s">
        <v>247</v>
      </c>
      <c r="L213" s="5" t="s">
        <v>247</v>
      </c>
      <c r="M213" s="1" t="s">
        <v>1</v>
      </c>
      <c r="N213" s="1"/>
      <c r="O213" s="2">
        <v>7.4197705336550193E-2</v>
      </c>
      <c r="P213" s="1"/>
      <c r="Q213" s="1"/>
      <c r="R213" s="2">
        <v>2.4178482075829E-2</v>
      </c>
      <c r="S213" s="2"/>
      <c r="T213" s="1"/>
      <c r="U213" s="1"/>
      <c r="V213" s="1">
        <v>2</v>
      </c>
      <c r="W213" s="1"/>
      <c r="X213" s="1"/>
      <c r="Y213" s="1">
        <v>2</v>
      </c>
      <c r="Z213" s="1"/>
      <c r="AA213" s="1"/>
    </row>
    <row r="214" spans="1:27" x14ac:dyDescent="0.3">
      <c r="A214" t="s">
        <v>35</v>
      </c>
      <c r="B214" t="s">
        <v>424</v>
      </c>
      <c r="C214" t="s">
        <v>425</v>
      </c>
      <c r="D214" t="s">
        <v>248</v>
      </c>
      <c r="E214" t="s">
        <v>427</v>
      </c>
      <c r="F214" t="s">
        <v>427</v>
      </c>
      <c r="G214" t="s">
        <v>427</v>
      </c>
      <c r="I214" t="s">
        <v>248</v>
      </c>
      <c r="L214" s="5" t="s">
        <v>248</v>
      </c>
      <c r="M214" s="1" t="s">
        <v>1</v>
      </c>
      <c r="N214" s="1"/>
      <c r="O214" s="2">
        <v>0.37548954741879798</v>
      </c>
      <c r="P214" s="1"/>
      <c r="Q214" s="1"/>
      <c r="R214" s="1"/>
      <c r="S214" s="1"/>
      <c r="T214" s="1"/>
      <c r="U214" s="1"/>
      <c r="V214" s="1">
        <v>22</v>
      </c>
      <c r="W214" s="1"/>
      <c r="X214" s="1"/>
      <c r="Y214" s="1"/>
      <c r="Z214" s="1"/>
      <c r="AA214" s="1"/>
    </row>
    <row r="215" spans="1:27" x14ac:dyDescent="0.3">
      <c r="A215" t="s">
        <v>35</v>
      </c>
      <c r="B215" t="s">
        <v>424</v>
      </c>
      <c r="C215" t="s">
        <v>425</v>
      </c>
      <c r="D215" t="s">
        <v>249</v>
      </c>
      <c r="E215" t="s">
        <v>427</v>
      </c>
      <c r="F215" t="s">
        <v>427</v>
      </c>
      <c r="G215" t="s">
        <v>427</v>
      </c>
      <c r="I215" t="s">
        <v>249</v>
      </c>
      <c r="L215" s="5" t="s">
        <v>249</v>
      </c>
      <c r="M215" s="1" t="s">
        <v>1</v>
      </c>
      <c r="N215" s="1"/>
      <c r="O215" s="2">
        <v>8.5265165621503207E-3</v>
      </c>
      <c r="P215" s="1"/>
      <c r="Q215" s="1"/>
      <c r="R215" s="1"/>
      <c r="S215" s="1"/>
      <c r="T215" s="1"/>
      <c r="U215" s="1"/>
      <c r="V215" s="1">
        <v>1</v>
      </c>
      <c r="W215" s="1"/>
      <c r="X215" s="1"/>
      <c r="Y215" s="1"/>
      <c r="Z215" s="1"/>
      <c r="AA215" s="1"/>
    </row>
    <row r="216" spans="1:27" x14ac:dyDescent="0.3">
      <c r="K216" s="1" t="s">
        <v>36</v>
      </c>
      <c r="L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3">
      <c r="A217" t="s">
        <v>36</v>
      </c>
      <c r="B217" t="s">
        <v>424</v>
      </c>
      <c r="C217" t="s">
        <v>425</v>
      </c>
      <c r="D217" t="s">
        <v>250</v>
      </c>
      <c r="E217" t="s">
        <v>426</v>
      </c>
      <c r="F217" t="s">
        <v>427</v>
      </c>
      <c r="G217" t="s">
        <v>427</v>
      </c>
      <c r="I217" t="s">
        <v>250</v>
      </c>
      <c r="L217" s="5" t="s">
        <v>250</v>
      </c>
      <c r="M217" s="1" t="s">
        <v>1</v>
      </c>
      <c r="N217" s="1"/>
      <c r="O217" s="2">
        <v>0.187426148621536</v>
      </c>
      <c r="P217" s="1"/>
      <c r="Q217" s="1"/>
      <c r="R217" s="1"/>
      <c r="S217" s="1"/>
      <c r="T217" s="1"/>
      <c r="U217" s="1"/>
      <c r="V217" s="1">
        <v>2</v>
      </c>
      <c r="W217" s="1"/>
      <c r="X217" s="1"/>
      <c r="Y217" s="1"/>
      <c r="Z217" s="1"/>
      <c r="AA217" s="1"/>
    </row>
    <row r="218" spans="1:27" x14ac:dyDescent="0.3">
      <c r="A218" t="s">
        <v>36</v>
      </c>
      <c r="B218" t="s">
        <v>441</v>
      </c>
      <c r="C218" t="s">
        <v>425</v>
      </c>
      <c r="D218" t="s">
        <v>251</v>
      </c>
      <c r="E218" t="s">
        <v>427</v>
      </c>
      <c r="F218" t="s">
        <v>427</v>
      </c>
      <c r="G218" t="s">
        <v>427</v>
      </c>
      <c r="I218" t="s">
        <v>251</v>
      </c>
      <c r="L218" s="5" t="s">
        <v>251</v>
      </c>
      <c r="M218" s="1" t="s">
        <v>1</v>
      </c>
      <c r="N218" s="2">
        <v>4.7378563165924002E-2</v>
      </c>
      <c r="O218" s="1"/>
      <c r="P218" s="1"/>
      <c r="Q218" s="1"/>
      <c r="R218" s="1"/>
      <c r="S218" s="1"/>
      <c r="T218" s="1"/>
      <c r="U218" s="1">
        <v>1</v>
      </c>
      <c r="V218" s="1"/>
      <c r="W218" s="1"/>
      <c r="X218" s="1"/>
      <c r="Y218" s="1"/>
      <c r="Z218" s="1"/>
      <c r="AA218" s="1"/>
    </row>
    <row r="219" spans="1:27" x14ac:dyDescent="0.3">
      <c r="A219" t="s">
        <v>36</v>
      </c>
      <c r="B219" t="s">
        <v>424</v>
      </c>
      <c r="C219" t="s">
        <v>425</v>
      </c>
      <c r="D219" t="s">
        <v>252</v>
      </c>
      <c r="E219" t="s">
        <v>427</v>
      </c>
      <c r="F219" t="s">
        <v>427</v>
      </c>
      <c r="G219" t="s">
        <v>427</v>
      </c>
      <c r="I219" t="s">
        <v>252</v>
      </c>
      <c r="L219" s="5" t="s">
        <v>252</v>
      </c>
      <c r="M219" s="1" t="s">
        <v>1</v>
      </c>
      <c r="N219" s="2">
        <v>2.23282642469083E-2</v>
      </c>
      <c r="O219" s="2">
        <v>9.1743850835499607</v>
      </c>
      <c r="P219" s="1"/>
      <c r="Q219" s="1"/>
      <c r="R219" s="2">
        <v>0.34261563240575699</v>
      </c>
      <c r="S219" s="2"/>
      <c r="T219" s="1"/>
      <c r="U219" s="1">
        <v>1</v>
      </c>
      <c r="V219" s="1">
        <v>187</v>
      </c>
      <c r="W219" s="1"/>
      <c r="X219" s="1"/>
      <c r="Y219" s="1">
        <v>14</v>
      </c>
      <c r="Z219" s="1"/>
      <c r="AA219" s="1"/>
    </row>
    <row r="220" spans="1:27" x14ac:dyDescent="0.3">
      <c r="K220" s="1" t="s">
        <v>37</v>
      </c>
      <c r="L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3">
      <c r="A221" t="s">
        <v>37</v>
      </c>
      <c r="B221" t="s">
        <v>424</v>
      </c>
      <c r="C221" t="s">
        <v>425</v>
      </c>
      <c r="D221" t="s">
        <v>253</v>
      </c>
      <c r="E221" t="s">
        <v>426</v>
      </c>
      <c r="F221" t="s">
        <v>427</v>
      </c>
      <c r="G221" t="s">
        <v>427</v>
      </c>
      <c r="I221" t="s">
        <v>253</v>
      </c>
      <c r="L221" s="5" t="s">
        <v>253</v>
      </c>
      <c r="M221" s="1" t="s">
        <v>1</v>
      </c>
      <c r="N221" s="1"/>
      <c r="O221" s="1"/>
      <c r="P221" s="1"/>
      <c r="Q221" s="1"/>
      <c r="R221" s="2">
        <v>0.35903841398978797</v>
      </c>
      <c r="S221" s="2"/>
      <c r="T221" s="1"/>
      <c r="U221" s="1"/>
      <c r="V221" s="1"/>
      <c r="W221" s="1"/>
      <c r="X221" s="1"/>
      <c r="Y221" s="1">
        <v>7</v>
      </c>
      <c r="Z221" s="1"/>
      <c r="AA221" s="1"/>
    </row>
    <row r="222" spans="1:27" x14ac:dyDescent="0.3">
      <c r="A222" t="s">
        <v>427</v>
      </c>
      <c r="B222" t="s">
        <v>427</v>
      </c>
      <c r="C222" t="s">
        <v>427</v>
      </c>
      <c r="D222" t="s">
        <v>427</v>
      </c>
      <c r="E222" t="s">
        <v>427</v>
      </c>
      <c r="F222" t="s">
        <v>427</v>
      </c>
      <c r="G222" t="s">
        <v>427</v>
      </c>
      <c r="H222" t="s">
        <v>437</v>
      </c>
      <c r="I222" t="s">
        <v>254</v>
      </c>
      <c r="L222" s="5" t="s">
        <v>254</v>
      </c>
      <c r="M222" s="1" t="s">
        <v>1</v>
      </c>
      <c r="N222" s="1"/>
      <c r="O222" s="1"/>
      <c r="P222" s="2">
        <v>3.8280910336755201E-2</v>
      </c>
      <c r="Q222" s="1"/>
      <c r="R222" s="1"/>
      <c r="S222" s="1"/>
      <c r="T222" s="1"/>
      <c r="U222" s="1"/>
      <c r="V222" s="1"/>
      <c r="W222" s="1">
        <v>2</v>
      </c>
      <c r="X222" s="1"/>
      <c r="Y222" s="1"/>
      <c r="Z222" s="1"/>
      <c r="AA222" s="1"/>
    </row>
    <row r="223" spans="1:27" x14ac:dyDescent="0.3">
      <c r="A223" t="s">
        <v>37</v>
      </c>
      <c r="B223" t="s">
        <v>424</v>
      </c>
      <c r="C223" t="s">
        <v>425</v>
      </c>
      <c r="D223" t="s">
        <v>468</v>
      </c>
      <c r="E223" t="s">
        <v>427</v>
      </c>
      <c r="F223" t="s">
        <v>427</v>
      </c>
      <c r="G223" t="s">
        <v>427</v>
      </c>
      <c r="H223" t="s">
        <v>432</v>
      </c>
      <c r="I223" t="s">
        <v>255</v>
      </c>
      <c r="L223" s="5" t="s">
        <v>255</v>
      </c>
      <c r="M223" s="1" t="s">
        <v>1</v>
      </c>
      <c r="N223" s="1"/>
      <c r="O223" s="2">
        <v>3.8121751833676498E-2</v>
      </c>
      <c r="P223" s="1"/>
      <c r="Q223" s="1"/>
      <c r="R223" s="1"/>
      <c r="S223" s="1"/>
      <c r="T223" s="1"/>
      <c r="U223" s="1"/>
      <c r="V223" s="1">
        <v>3</v>
      </c>
      <c r="W223" s="1"/>
      <c r="X223" s="1"/>
      <c r="Y223" s="1"/>
      <c r="Z223" s="1"/>
      <c r="AA223" s="1"/>
    </row>
    <row r="224" spans="1:27" x14ac:dyDescent="0.3">
      <c r="A224" t="s">
        <v>37</v>
      </c>
      <c r="B224" t="s">
        <v>424</v>
      </c>
      <c r="C224" t="s">
        <v>425</v>
      </c>
      <c r="D224" t="s">
        <v>469</v>
      </c>
      <c r="E224" t="s">
        <v>427</v>
      </c>
      <c r="F224" t="s">
        <v>427</v>
      </c>
      <c r="G224" t="s">
        <v>427</v>
      </c>
      <c r="H224" t="s">
        <v>432</v>
      </c>
      <c r="I224" t="s">
        <v>256</v>
      </c>
      <c r="L224" s="5" t="s">
        <v>256</v>
      </c>
      <c r="M224" s="1" t="s">
        <v>1</v>
      </c>
      <c r="N224" s="1"/>
      <c r="O224" s="1"/>
      <c r="P224" s="2">
        <v>1.21177129347004</v>
      </c>
      <c r="Q224" s="1"/>
      <c r="R224" s="1"/>
      <c r="S224" s="1"/>
      <c r="T224" s="1"/>
      <c r="U224" s="1"/>
      <c r="V224" s="1"/>
      <c r="W224" s="1">
        <v>6</v>
      </c>
      <c r="X224" s="1"/>
      <c r="Y224" s="1"/>
      <c r="Z224" s="1"/>
      <c r="AA224" s="1"/>
    </row>
    <row r="225" spans="1:27" x14ac:dyDescent="0.3">
      <c r="A225" t="s">
        <v>37</v>
      </c>
      <c r="B225" t="s">
        <v>441</v>
      </c>
      <c r="C225" t="s">
        <v>425</v>
      </c>
      <c r="D225" t="s">
        <v>470</v>
      </c>
      <c r="E225" t="s">
        <v>427</v>
      </c>
      <c r="F225" t="s">
        <v>427</v>
      </c>
      <c r="G225" t="s">
        <v>427</v>
      </c>
      <c r="H225" t="s">
        <v>432</v>
      </c>
      <c r="I225" t="s">
        <v>257</v>
      </c>
      <c r="L225" s="5" t="s">
        <v>257</v>
      </c>
      <c r="M225" s="1" t="s">
        <v>1</v>
      </c>
      <c r="N225" s="1"/>
      <c r="O225" s="1"/>
      <c r="P225" s="1"/>
      <c r="Q225" s="1"/>
      <c r="R225" s="2">
        <v>1.4111131342968901E-2</v>
      </c>
      <c r="S225" s="2"/>
      <c r="T225" s="1"/>
      <c r="U225" s="1"/>
      <c r="V225" s="1"/>
      <c r="W225" s="1"/>
      <c r="X225" s="1"/>
      <c r="Y225" s="1">
        <v>1</v>
      </c>
      <c r="Z225" s="1"/>
      <c r="AA225" s="1"/>
    </row>
    <row r="226" spans="1:27" x14ac:dyDescent="0.3">
      <c r="A226" t="s">
        <v>37</v>
      </c>
      <c r="B226" t="s">
        <v>424</v>
      </c>
      <c r="C226" t="s">
        <v>425</v>
      </c>
      <c r="D226" t="s">
        <v>471</v>
      </c>
      <c r="E226" t="s">
        <v>426</v>
      </c>
      <c r="F226" t="s">
        <v>427</v>
      </c>
      <c r="G226" t="s">
        <v>427</v>
      </c>
      <c r="H226" t="s">
        <v>432</v>
      </c>
      <c r="I226" t="s">
        <v>258</v>
      </c>
      <c r="L226" s="5" t="s">
        <v>258</v>
      </c>
      <c r="M226" s="1" t="s">
        <v>1</v>
      </c>
      <c r="N226" s="1"/>
      <c r="O226" s="1"/>
      <c r="P226" s="1"/>
      <c r="Q226" s="2">
        <v>0.116420792482428</v>
      </c>
      <c r="R226" s="2">
        <v>0.63588682286790799</v>
      </c>
      <c r="S226" s="2"/>
      <c r="T226" s="1"/>
      <c r="U226" s="1"/>
      <c r="V226" s="1"/>
      <c r="W226" s="1"/>
      <c r="X226" s="1">
        <v>2</v>
      </c>
      <c r="Y226" s="1">
        <v>22</v>
      </c>
      <c r="Z226" s="1"/>
      <c r="AA226" s="1"/>
    </row>
    <row r="227" spans="1:27" x14ac:dyDescent="0.3">
      <c r="A227" t="s">
        <v>37</v>
      </c>
      <c r="B227" t="s">
        <v>424</v>
      </c>
      <c r="C227" t="s">
        <v>425</v>
      </c>
      <c r="D227" t="s">
        <v>259</v>
      </c>
      <c r="E227" t="s">
        <v>426</v>
      </c>
      <c r="F227" t="s">
        <v>427</v>
      </c>
      <c r="G227" t="s">
        <v>427</v>
      </c>
      <c r="I227" t="s">
        <v>259</v>
      </c>
      <c r="L227" s="5" t="s">
        <v>259</v>
      </c>
      <c r="M227" s="1" t="s">
        <v>1</v>
      </c>
      <c r="N227" s="1"/>
      <c r="O227" s="1"/>
      <c r="P227" s="1"/>
      <c r="Q227" s="1"/>
      <c r="R227" s="2">
        <v>7.3630346876839795E-2</v>
      </c>
      <c r="S227" s="2"/>
      <c r="T227" s="1"/>
      <c r="U227" s="1"/>
      <c r="V227" s="1"/>
      <c r="W227" s="1"/>
      <c r="X227" s="1"/>
      <c r="Y227" s="1">
        <v>2</v>
      </c>
      <c r="Z227" s="1"/>
      <c r="AA227" s="1"/>
    </row>
    <row r="228" spans="1:27" x14ac:dyDescent="0.3">
      <c r="A228" t="s">
        <v>37</v>
      </c>
      <c r="B228" t="s">
        <v>424</v>
      </c>
      <c r="C228" t="s">
        <v>425</v>
      </c>
      <c r="D228" t="s">
        <v>260</v>
      </c>
      <c r="E228" t="s">
        <v>427</v>
      </c>
      <c r="F228" t="s">
        <v>427</v>
      </c>
      <c r="G228" t="s">
        <v>427</v>
      </c>
      <c r="I228" t="s">
        <v>260</v>
      </c>
      <c r="L228" s="5" t="s">
        <v>260</v>
      </c>
      <c r="M228" s="1" t="s">
        <v>1</v>
      </c>
      <c r="N228" s="1"/>
      <c r="O228" s="2">
        <v>1.3044861121807301</v>
      </c>
      <c r="P228" s="1"/>
      <c r="Q228" s="1"/>
      <c r="R228" s="2">
        <v>0.42041077647092701</v>
      </c>
      <c r="S228" s="2"/>
      <c r="T228" s="1"/>
      <c r="U228" s="1"/>
      <c r="V228" s="1">
        <v>15</v>
      </c>
      <c r="W228" s="1"/>
      <c r="X228" s="1"/>
      <c r="Y228" s="1">
        <v>14</v>
      </c>
      <c r="Z228" s="1"/>
      <c r="AA228" s="1"/>
    </row>
    <row r="229" spans="1:27" x14ac:dyDescent="0.3">
      <c r="A229" t="s">
        <v>37</v>
      </c>
      <c r="B229" t="s">
        <v>441</v>
      </c>
      <c r="C229" t="s">
        <v>425</v>
      </c>
      <c r="D229" t="s">
        <v>261</v>
      </c>
      <c r="E229" t="s">
        <v>427</v>
      </c>
      <c r="F229" t="s">
        <v>427</v>
      </c>
      <c r="G229" t="s">
        <v>427</v>
      </c>
      <c r="I229" t="s">
        <v>261</v>
      </c>
      <c r="L229" s="5" t="s">
        <v>261</v>
      </c>
      <c r="M229" s="1" t="s">
        <v>1</v>
      </c>
      <c r="N229" s="2">
        <v>2.5279784184887501E-2</v>
      </c>
      <c r="O229" s="1"/>
      <c r="P229" s="1"/>
      <c r="Q229" s="1"/>
      <c r="R229" s="1"/>
      <c r="S229" s="1"/>
      <c r="T229" s="1"/>
      <c r="U229" s="1">
        <v>1</v>
      </c>
      <c r="V229" s="1"/>
      <c r="W229" s="1"/>
      <c r="X229" s="1"/>
      <c r="Y229" s="1"/>
      <c r="Z229" s="1"/>
      <c r="AA229" s="1"/>
    </row>
    <row r="230" spans="1:27" x14ac:dyDescent="0.3">
      <c r="A230" t="s">
        <v>37</v>
      </c>
      <c r="B230" t="s">
        <v>441</v>
      </c>
      <c r="C230" t="s">
        <v>425</v>
      </c>
      <c r="D230" t="s">
        <v>262</v>
      </c>
      <c r="E230" t="s">
        <v>427</v>
      </c>
      <c r="F230" t="s">
        <v>427</v>
      </c>
      <c r="G230" t="s">
        <v>427</v>
      </c>
      <c r="I230" t="s">
        <v>262</v>
      </c>
      <c r="L230" s="5" t="s">
        <v>262</v>
      </c>
      <c r="M230" s="1" t="s">
        <v>1</v>
      </c>
      <c r="N230" s="2">
        <v>0.36928443507985897</v>
      </c>
      <c r="O230" s="1"/>
      <c r="P230" s="1"/>
      <c r="Q230" s="1"/>
      <c r="R230" s="1"/>
      <c r="S230" s="1"/>
      <c r="T230" s="1"/>
      <c r="U230" s="1">
        <v>8</v>
      </c>
      <c r="V230" s="1"/>
      <c r="W230" s="1"/>
      <c r="X230" s="1"/>
      <c r="Y230" s="1"/>
      <c r="Z230" s="1"/>
      <c r="AA230" s="1"/>
    </row>
    <row r="231" spans="1:27" x14ac:dyDescent="0.3">
      <c r="A231" t="s">
        <v>37</v>
      </c>
      <c r="B231" t="s">
        <v>424</v>
      </c>
      <c r="C231" t="s">
        <v>425</v>
      </c>
      <c r="D231" t="s">
        <v>263</v>
      </c>
      <c r="E231" t="s">
        <v>426</v>
      </c>
      <c r="F231" t="s">
        <v>427</v>
      </c>
      <c r="G231" t="s">
        <v>427</v>
      </c>
      <c r="I231" t="s">
        <v>263</v>
      </c>
      <c r="L231" s="5" t="s">
        <v>263</v>
      </c>
      <c r="M231" s="1" t="s">
        <v>1</v>
      </c>
      <c r="N231" s="2">
        <v>4.3783777901693899</v>
      </c>
      <c r="O231" s="2">
        <v>0.47777724378092001</v>
      </c>
      <c r="P231" s="1"/>
      <c r="Q231" s="1"/>
      <c r="R231" s="1"/>
      <c r="S231" s="1"/>
      <c r="T231" s="1"/>
      <c r="U231" s="1">
        <v>49</v>
      </c>
      <c r="V231" s="1">
        <v>4</v>
      </c>
      <c r="W231" s="1"/>
      <c r="X231" s="1"/>
      <c r="Y231" s="1"/>
      <c r="Z231" s="1"/>
      <c r="AA231" s="1"/>
    </row>
    <row r="232" spans="1:27" x14ac:dyDescent="0.3">
      <c r="A232" t="s">
        <v>427</v>
      </c>
      <c r="B232" t="s">
        <v>427</v>
      </c>
      <c r="C232" t="s">
        <v>427</v>
      </c>
      <c r="D232" t="s">
        <v>427</v>
      </c>
      <c r="E232" t="s">
        <v>427</v>
      </c>
      <c r="F232" t="s">
        <v>427</v>
      </c>
      <c r="G232" t="s">
        <v>427</v>
      </c>
      <c r="H232" t="s">
        <v>437</v>
      </c>
      <c r="I232" t="s">
        <v>472</v>
      </c>
      <c r="L232" s="5" t="s">
        <v>264</v>
      </c>
      <c r="M232" s="1" t="s">
        <v>1</v>
      </c>
      <c r="N232" s="2">
        <v>2.7972643284909502</v>
      </c>
      <c r="O232" s="1"/>
      <c r="P232" s="1"/>
      <c r="Q232" s="1"/>
      <c r="R232" s="1"/>
      <c r="S232" s="1"/>
      <c r="T232" s="1"/>
      <c r="U232" s="1">
        <v>37</v>
      </c>
      <c r="V232" s="1"/>
      <c r="W232" s="1"/>
      <c r="X232" s="1"/>
      <c r="Y232" s="1"/>
      <c r="Z232" s="1"/>
      <c r="AA232" s="1"/>
    </row>
    <row r="233" spans="1:27" x14ac:dyDescent="0.3">
      <c r="A233" t="s">
        <v>427</v>
      </c>
      <c r="B233" t="s">
        <v>427</v>
      </c>
      <c r="C233" t="s">
        <v>427</v>
      </c>
      <c r="D233" t="s">
        <v>427</v>
      </c>
      <c r="E233" t="s">
        <v>427</v>
      </c>
      <c r="F233" t="s">
        <v>427</v>
      </c>
      <c r="G233" t="s">
        <v>427</v>
      </c>
      <c r="H233" t="s">
        <v>437</v>
      </c>
      <c r="I233" t="s">
        <v>473</v>
      </c>
      <c r="L233" s="5" t="s">
        <v>265</v>
      </c>
      <c r="M233" s="1" t="s">
        <v>1</v>
      </c>
      <c r="N233" s="1"/>
      <c r="O233" s="2">
        <v>0.16440602621504999</v>
      </c>
      <c r="P233" s="1"/>
      <c r="Q233" s="1"/>
      <c r="R233" s="1"/>
      <c r="S233" s="1"/>
      <c r="T233" s="1"/>
      <c r="U233" s="1"/>
      <c r="V233" s="1">
        <v>5</v>
      </c>
      <c r="W233" s="1"/>
      <c r="X233" s="1"/>
      <c r="Y233" s="1"/>
      <c r="Z233" s="1"/>
      <c r="AA233" s="1"/>
    </row>
    <row r="234" spans="1:27" x14ac:dyDescent="0.3">
      <c r="A234" t="s">
        <v>37</v>
      </c>
      <c r="B234" t="s">
        <v>424</v>
      </c>
      <c r="C234" t="s">
        <v>425</v>
      </c>
      <c r="D234" t="s">
        <v>264</v>
      </c>
      <c r="E234" t="s">
        <v>426</v>
      </c>
      <c r="F234" t="s">
        <v>427</v>
      </c>
      <c r="G234" t="s">
        <v>427</v>
      </c>
      <c r="I234" t="s">
        <v>264</v>
      </c>
      <c r="L234" s="5" t="s">
        <v>266</v>
      </c>
      <c r="M234" s="1" t="s">
        <v>1</v>
      </c>
      <c r="N234" s="2">
        <v>1.11515781682616</v>
      </c>
      <c r="O234" s="1"/>
      <c r="P234" s="1"/>
      <c r="Q234" s="1"/>
      <c r="R234" s="1"/>
      <c r="S234" s="1"/>
      <c r="T234" s="1"/>
      <c r="U234" s="1">
        <v>26</v>
      </c>
      <c r="V234" s="1"/>
      <c r="W234" s="1"/>
      <c r="X234" s="1"/>
      <c r="Y234" s="1"/>
      <c r="Z234" s="1"/>
      <c r="AA234" s="1"/>
    </row>
    <row r="235" spans="1:27" x14ac:dyDescent="0.3">
      <c r="A235" t="s">
        <v>37</v>
      </c>
      <c r="B235" t="s">
        <v>424</v>
      </c>
      <c r="C235" t="s">
        <v>425</v>
      </c>
      <c r="D235" t="s">
        <v>265</v>
      </c>
      <c r="E235" t="s">
        <v>427</v>
      </c>
      <c r="F235" t="s">
        <v>427</v>
      </c>
      <c r="G235" t="s">
        <v>427</v>
      </c>
      <c r="I235" t="s">
        <v>265</v>
      </c>
      <c r="L235" s="5" t="s">
        <v>267</v>
      </c>
      <c r="M235" s="1" t="s">
        <v>1</v>
      </c>
      <c r="N235" s="2">
        <v>0.33831294335617601</v>
      </c>
      <c r="O235" s="2">
        <v>4.3173663334052197</v>
      </c>
      <c r="P235" s="2">
        <v>0.18094085694973699</v>
      </c>
      <c r="Q235" s="1"/>
      <c r="R235" s="2">
        <v>0.89796088309375299</v>
      </c>
      <c r="S235" s="2"/>
      <c r="T235" s="1"/>
      <c r="U235" s="1">
        <v>9</v>
      </c>
      <c r="V235" s="1">
        <v>102</v>
      </c>
      <c r="W235" s="1">
        <v>2</v>
      </c>
      <c r="X235" s="1"/>
      <c r="Y235" s="1">
        <v>16</v>
      </c>
      <c r="Z235" s="1"/>
      <c r="AA235" s="1"/>
    </row>
    <row r="236" spans="1:27" x14ac:dyDescent="0.3">
      <c r="A236" t="s">
        <v>37</v>
      </c>
      <c r="B236" t="s">
        <v>424</v>
      </c>
      <c r="C236" t="s">
        <v>425</v>
      </c>
      <c r="D236" t="s">
        <v>266</v>
      </c>
      <c r="E236" t="s">
        <v>427</v>
      </c>
      <c r="F236" t="s">
        <v>427</v>
      </c>
      <c r="G236" t="s">
        <v>427</v>
      </c>
      <c r="I236" t="s">
        <v>266</v>
      </c>
      <c r="L236" s="5" t="s">
        <v>268</v>
      </c>
      <c r="M236" s="1" t="s">
        <v>1</v>
      </c>
      <c r="N236" s="1"/>
      <c r="O236" s="1"/>
      <c r="P236" s="1"/>
      <c r="Q236" s="1"/>
      <c r="R236" s="2">
        <v>4.0374284726876403E-2</v>
      </c>
      <c r="S236" s="2"/>
      <c r="T236" s="1"/>
      <c r="U236" s="1"/>
      <c r="V236" s="1"/>
      <c r="W236" s="1"/>
      <c r="X236" s="1"/>
      <c r="Y236" s="1">
        <v>1</v>
      </c>
      <c r="Z236" s="1"/>
      <c r="AA236" s="1"/>
    </row>
    <row r="237" spans="1:27" x14ac:dyDescent="0.3">
      <c r="A237" t="s">
        <v>37</v>
      </c>
      <c r="B237" t="s">
        <v>424</v>
      </c>
      <c r="C237" t="s">
        <v>425</v>
      </c>
      <c r="D237" t="s">
        <v>267</v>
      </c>
      <c r="E237" t="s">
        <v>427</v>
      </c>
      <c r="F237" t="s">
        <v>427</v>
      </c>
      <c r="G237" t="s">
        <v>427</v>
      </c>
      <c r="I237" t="s">
        <v>267</v>
      </c>
      <c r="L237" s="5" t="s">
        <v>269</v>
      </c>
      <c r="M237" s="1" t="s">
        <v>1</v>
      </c>
      <c r="N237" s="2">
        <v>2.77019323473785</v>
      </c>
      <c r="O237" s="1"/>
      <c r="P237" s="1"/>
      <c r="Q237" s="1"/>
      <c r="R237" s="1"/>
      <c r="S237" s="1"/>
      <c r="T237" s="1"/>
      <c r="U237" s="1">
        <v>85</v>
      </c>
      <c r="V237" s="1"/>
      <c r="W237" s="1"/>
      <c r="X237" s="1"/>
      <c r="Y237" s="1"/>
      <c r="Z237" s="1"/>
      <c r="AA237" s="1"/>
    </row>
    <row r="238" spans="1:27" x14ac:dyDescent="0.3">
      <c r="A238" t="s">
        <v>37</v>
      </c>
      <c r="B238" t="s">
        <v>424</v>
      </c>
      <c r="C238" t="s">
        <v>425</v>
      </c>
      <c r="D238" t="s">
        <v>266</v>
      </c>
      <c r="E238" t="s">
        <v>427</v>
      </c>
      <c r="F238" t="s">
        <v>427</v>
      </c>
      <c r="G238" t="s">
        <v>427</v>
      </c>
      <c r="H238" t="s">
        <v>432</v>
      </c>
      <c r="I238" t="s">
        <v>268</v>
      </c>
      <c r="L238" s="5" t="s">
        <v>270</v>
      </c>
      <c r="M238" s="1" t="s">
        <v>1</v>
      </c>
      <c r="N238" s="1"/>
      <c r="O238" s="1"/>
      <c r="P238" s="1"/>
      <c r="Q238" s="1"/>
      <c r="R238" s="2">
        <v>3.0616492644814799</v>
      </c>
      <c r="S238" s="2"/>
      <c r="T238" s="1"/>
      <c r="U238" s="1"/>
      <c r="V238" s="1"/>
      <c r="W238" s="1"/>
      <c r="X238" s="1"/>
      <c r="Y238" s="1">
        <v>106</v>
      </c>
      <c r="Z238" s="1"/>
      <c r="AA238" s="1"/>
    </row>
    <row r="239" spans="1:27" x14ac:dyDescent="0.3">
      <c r="A239" t="s">
        <v>37</v>
      </c>
      <c r="B239" t="s">
        <v>424</v>
      </c>
      <c r="C239" t="s">
        <v>425</v>
      </c>
      <c r="D239" t="s">
        <v>269</v>
      </c>
      <c r="E239" t="s">
        <v>427</v>
      </c>
      <c r="F239" t="s">
        <v>427</v>
      </c>
      <c r="G239" t="s">
        <v>427</v>
      </c>
      <c r="I239" t="s">
        <v>269</v>
      </c>
      <c r="L239" s="5" t="s">
        <v>271</v>
      </c>
      <c r="M239" s="1" t="s">
        <v>1</v>
      </c>
      <c r="N239" s="1"/>
      <c r="O239" s="2">
        <v>0.750804640944014</v>
      </c>
      <c r="P239" s="1"/>
      <c r="Q239" s="1"/>
      <c r="R239" s="2">
        <v>4.9839999969458502</v>
      </c>
      <c r="S239" s="2"/>
      <c r="T239" s="1"/>
      <c r="U239" s="1"/>
      <c r="V239" s="1">
        <v>3</v>
      </c>
      <c r="W239" s="1"/>
      <c r="X239" s="1"/>
      <c r="Y239" s="1">
        <v>76</v>
      </c>
      <c r="Z239" s="1"/>
      <c r="AA239" s="1"/>
    </row>
    <row r="240" spans="1:27" x14ac:dyDescent="0.3">
      <c r="A240" t="s">
        <v>37</v>
      </c>
      <c r="B240" t="s">
        <v>424</v>
      </c>
      <c r="C240" t="s">
        <v>425</v>
      </c>
      <c r="D240" t="s">
        <v>270</v>
      </c>
      <c r="E240" t="s">
        <v>426</v>
      </c>
      <c r="F240" t="s">
        <v>427</v>
      </c>
      <c r="G240" t="s">
        <v>427</v>
      </c>
      <c r="I240" t="s">
        <v>270</v>
      </c>
      <c r="L240" s="5" t="s">
        <v>272</v>
      </c>
      <c r="M240" s="1" t="s">
        <v>1</v>
      </c>
      <c r="N240" s="1"/>
      <c r="O240" s="1"/>
      <c r="P240" s="1"/>
      <c r="Q240" s="1"/>
      <c r="R240" s="2">
        <v>4.8133591412123901E-2</v>
      </c>
      <c r="S240" s="2"/>
      <c r="T240" s="1"/>
      <c r="U240" s="1"/>
      <c r="V240" s="1"/>
      <c r="W240" s="1"/>
      <c r="X240" s="1"/>
      <c r="Y240" s="1">
        <v>1</v>
      </c>
      <c r="Z240" s="1"/>
      <c r="AA240" s="1"/>
    </row>
    <row r="241" spans="1:27" x14ac:dyDescent="0.3">
      <c r="A241" t="s">
        <v>37</v>
      </c>
      <c r="B241" t="s">
        <v>424</v>
      </c>
      <c r="C241" t="s">
        <v>425</v>
      </c>
      <c r="D241" t="s">
        <v>271</v>
      </c>
      <c r="E241" t="s">
        <v>427</v>
      </c>
      <c r="F241" t="s">
        <v>427</v>
      </c>
      <c r="G241" t="s">
        <v>427</v>
      </c>
      <c r="I241" t="s">
        <v>271</v>
      </c>
      <c r="L241" s="5" t="s">
        <v>273</v>
      </c>
      <c r="M241" s="1" t="s">
        <v>1</v>
      </c>
      <c r="N241" s="2">
        <v>0.22674986969687499</v>
      </c>
      <c r="O241" s="1"/>
      <c r="P241" s="1"/>
      <c r="Q241" s="1"/>
      <c r="R241" s="1"/>
      <c r="S241" s="1"/>
      <c r="T241" s="1"/>
      <c r="U241" s="1">
        <v>7</v>
      </c>
      <c r="V241" s="1"/>
      <c r="W241" s="1"/>
      <c r="X241" s="1"/>
      <c r="Y241" s="1"/>
      <c r="Z241" s="1"/>
      <c r="AA241" s="1"/>
    </row>
    <row r="242" spans="1:27" x14ac:dyDescent="0.3">
      <c r="A242" t="s">
        <v>37</v>
      </c>
      <c r="B242" t="s">
        <v>441</v>
      </c>
      <c r="C242" t="s">
        <v>425</v>
      </c>
      <c r="D242" t="s">
        <v>272</v>
      </c>
      <c r="E242" t="s">
        <v>427</v>
      </c>
      <c r="F242" t="s">
        <v>427</v>
      </c>
      <c r="G242" t="s">
        <v>427</v>
      </c>
      <c r="I242" t="s">
        <v>272</v>
      </c>
      <c r="L242" s="5" t="s">
        <v>412</v>
      </c>
      <c r="M242" s="1" t="s">
        <v>1</v>
      </c>
      <c r="N242" s="1"/>
      <c r="O242" s="1"/>
      <c r="P242" s="1"/>
      <c r="Q242" s="1"/>
      <c r="R242" s="2">
        <v>0.49370537361806799</v>
      </c>
      <c r="S242" s="2"/>
      <c r="T242" s="1"/>
      <c r="U242" s="1"/>
      <c r="V242" s="1"/>
      <c r="W242" s="1"/>
      <c r="X242" s="1"/>
      <c r="Y242" s="1">
        <v>1</v>
      </c>
      <c r="Z242" s="1"/>
      <c r="AA242" s="1"/>
    </row>
    <row r="243" spans="1:27" x14ac:dyDescent="0.3">
      <c r="A243" t="s">
        <v>37</v>
      </c>
      <c r="B243" t="s">
        <v>441</v>
      </c>
      <c r="C243" t="s">
        <v>425</v>
      </c>
      <c r="D243" t="s">
        <v>273</v>
      </c>
      <c r="E243" t="s">
        <v>427</v>
      </c>
      <c r="F243" t="s">
        <v>427</v>
      </c>
      <c r="G243" t="s">
        <v>427</v>
      </c>
      <c r="I243" t="s">
        <v>273</v>
      </c>
      <c r="L243" s="5" t="s">
        <v>413</v>
      </c>
      <c r="M243" s="1" t="s">
        <v>1</v>
      </c>
      <c r="N243" s="1"/>
      <c r="O243" s="1"/>
      <c r="P243" s="1"/>
      <c r="Q243" s="1"/>
      <c r="R243" s="2">
        <v>1.6357631276724099E-2</v>
      </c>
      <c r="S243" s="2"/>
      <c r="T243" s="1"/>
      <c r="U243" s="1"/>
      <c r="V243" s="1"/>
      <c r="W243" s="1"/>
      <c r="X243" s="1"/>
      <c r="Y243" s="1">
        <v>1</v>
      </c>
      <c r="Z243" s="1"/>
      <c r="AA243" s="1"/>
    </row>
    <row r="244" spans="1:27" x14ac:dyDescent="0.3">
      <c r="A244" t="s">
        <v>37</v>
      </c>
      <c r="B244" t="s">
        <v>441</v>
      </c>
      <c r="C244" t="s">
        <v>425</v>
      </c>
      <c r="D244" t="s">
        <v>274</v>
      </c>
      <c r="E244" t="s">
        <v>427</v>
      </c>
      <c r="F244" t="s">
        <v>427</v>
      </c>
      <c r="G244" t="s">
        <v>427</v>
      </c>
      <c r="I244" t="s">
        <v>274</v>
      </c>
      <c r="L244" s="5" t="s">
        <v>274</v>
      </c>
      <c r="M244" s="1" t="s">
        <v>1</v>
      </c>
      <c r="N244" s="1"/>
      <c r="O244" s="1"/>
      <c r="P244" s="1"/>
      <c r="Q244" s="1"/>
      <c r="R244" s="2">
        <v>0.152551600716341</v>
      </c>
      <c r="S244" s="2"/>
      <c r="T244" s="1"/>
      <c r="U244" s="1"/>
      <c r="V244" s="1"/>
      <c r="W244" s="1"/>
      <c r="X244" s="1"/>
      <c r="Y244" s="1">
        <v>3</v>
      </c>
      <c r="Z244" s="1"/>
      <c r="AA244" s="1"/>
    </row>
    <row r="245" spans="1:27" x14ac:dyDescent="0.3">
      <c r="A245" t="s">
        <v>37</v>
      </c>
      <c r="B245" t="s">
        <v>424</v>
      </c>
      <c r="C245" t="s">
        <v>425</v>
      </c>
      <c r="D245" t="s">
        <v>275</v>
      </c>
      <c r="E245" t="s">
        <v>427</v>
      </c>
      <c r="F245" t="s">
        <v>427</v>
      </c>
      <c r="G245" t="s">
        <v>427</v>
      </c>
      <c r="I245" t="s">
        <v>275</v>
      </c>
      <c r="L245" s="5" t="s">
        <v>275</v>
      </c>
      <c r="M245" s="1" t="s">
        <v>1</v>
      </c>
      <c r="N245" s="2">
        <v>1.1553678310173499E-2</v>
      </c>
      <c r="O245" s="1"/>
      <c r="P245" s="1"/>
      <c r="Q245" s="1"/>
      <c r="R245" s="1"/>
      <c r="S245" s="1"/>
      <c r="T245" s="1"/>
      <c r="U245" s="1">
        <v>1</v>
      </c>
      <c r="V245" s="1"/>
      <c r="W245" s="1"/>
      <c r="X245" s="1"/>
      <c r="Y245" s="1"/>
      <c r="Z245" s="1"/>
      <c r="AA245" s="1"/>
    </row>
    <row r="246" spans="1:27" x14ac:dyDescent="0.3">
      <c r="A246" t="s">
        <v>37</v>
      </c>
      <c r="B246" t="s">
        <v>424</v>
      </c>
      <c r="C246" t="s">
        <v>425</v>
      </c>
      <c r="D246" t="s">
        <v>474</v>
      </c>
      <c r="E246" t="s">
        <v>427</v>
      </c>
      <c r="F246" t="s">
        <v>427</v>
      </c>
      <c r="G246" t="s">
        <v>427</v>
      </c>
      <c r="H246" t="s">
        <v>436</v>
      </c>
      <c r="I246" t="s">
        <v>276</v>
      </c>
      <c r="L246" s="5" t="s">
        <v>276</v>
      </c>
      <c r="M246" s="1" t="s">
        <v>1</v>
      </c>
      <c r="N246" s="1"/>
      <c r="O246" s="2">
        <v>2.6903896564777598</v>
      </c>
      <c r="P246" s="1"/>
      <c r="Q246" s="1"/>
      <c r="R246" s="1"/>
      <c r="S246" s="1"/>
      <c r="T246" s="1"/>
      <c r="U246" s="1"/>
      <c r="V246" s="1">
        <v>26</v>
      </c>
      <c r="W246" s="1"/>
      <c r="X246" s="1"/>
      <c r="Y246" s="1"/>
      <c r="Z246" s="1"/>
      <c r="AA246" s="1"/>
    </row>
    <row r="247" spans="1:27" x14ac:dyDescent="0.3">
      <c r="A247" t="s">
        <v>37</v>
      </c>
      <c r="B247" t="s">
        <v>424</v>
      </c>
      <c r="C247" t="s">
        <v>425</v>
      </c>
      <c r="D247" t="s">
        <v>475</v>
      </c>
      <c r="E247" t="s">
        <v>426</v>
      </c>
      <c r="F247" t="s">
        <v>427</v>
      </c>
      <c r="G247" t="s">
        <v>427</v>
      </c>
      <c r="H247" t="s">
        <v>432</v>
      </c>
      <c r="I247" t="s">
        <v>277</v>
      </c>
      <c r="L247" s="5" t="s">
        <v>277</v>
      </c>
      <c r="M247" s="1" t="s">
        <v>1</v>
      </c>
      <c r="N247" s="2">
        <v>2.1762148764620799E-2</v>
      </c>
      <c r="O247" s="1"/>
      <c r="P247" s="1"/>
      <c r="Q247" s="1"/>
      <c r="R247" s="1"/>
      <c r="S247" s="1"/>
      <c r="T247" s="1"/>
      <c r="U247" s="1">
        <v>2</v>
      </c>
      <c r="V247" s="1"/>
      <c r="W247" s="1"/>
      <c r="X247" s="1"/>
      <c r="Y247" s="1"/>
      <c r="Z247" s="1"/>
      <c r="AA247" s="1"/>
    </row>
    <row r="248" spans="1:27" x14ac:dyDescent="0.3">
      <c r="A248" t="s">
        <v>37</v>
      </c>
      <c r="B248" t="s">
        <v>424</v>
      </c>
      <c r="C248" t="s">
        <v>425</v>
      </c>
      <c r="D248" t="s">
        <v>278</v>
      </c>
      <c r="E248" t="s">
        <v>427</v>
      </c>
      <c r="F248" t="s">
        <v>427</v>
      </c>
      <c r="G248" t="s">
        <v>427</v>
      </c>
      <c r="I248" t="s">
        <v>278</v>
      </c>
      <c r="L248" s="5" t="s">
        <v>278</v>
      </c>
      <c r="M248" s="1" t="s">
        <v>1</v>
      </c>
      <c r="N248" s="1"/>
      <c r="O248" s="2">
        <v>9.9455116821921999E-2</v>
      </c>
      <c r="P248" s="1"/>
      <c r="Q248" s="1"/>
      <c r="R248" s="1"/>
      <c r="S248" s="1"/>
      <c r="T248" s="1"/>
      <c r="U248" s="1"/>
      <c r="V248" s="1">
        <v>5</v>
      </c>
      <c r="W248" s="1"/>
      <c r="X248" s="1"/>
      <c r="Y248" s="1"/>
      <c r="Z248" s="1"/>
      <c r="AA248" s="1"/>
    </row>
    <row r="249" spans="1:27" x14ac:dyDescent="0.3">
      <c r="A249" t="s">
        <v>37</v>
      </c>
      <c r="B249" t="s">
        <v>424</v>
      </c>
      <c r="C249" t="s">
        <v>425</v>
      </c>
      <c r="D249" t="s">
        <v>304</v>
      </c>
      <c r="E249" t="s">
        <v>449</v>
      </c>
      <c r="F249" t="s">
        <v>427</v>
      </c>
      <c r="G249" t="s">
        <v>427</v>
      </c>
      <c r="H249" t="s">
        <v>436</v>
      </c>
      <c r="I249" t="s">
        <v>279</v>
      </c>
      <c r="L249" s="5" t="s">
        <v>279</v>
      </c>
      <c r="M249" s="1" t="s">
        <v>1</v>
      </c>
      <c r="N249" s="1"/>
      <c r="O249" s="1"/>
      <c r="P249" s="2">
        <v>1.55625167274486E-2</v>
      </c>
      <c r="Q249" s="1"/>
      <c r="R249" s="1"/>
      <c r="S249" s="1"/>
      <c r="T249" s="1"/>
      <c r="U249" s="1"/>
      <c r="V249" s="1"/>
      <c r="W249" s="1">
        <v>1</v>
      </c>
      <c r="X249" s="1"/>
      <c r="Y249" s="1"/>
      <c r="Z249" s="1"/>
      <c r="AA249" s="1"/>
    </row>
    <row r="250" spans="1:27" x14ac:dyDescent="0.3">
      <c r="A250" t="s">
        <v>37</v>
      </c>
      <c r="B250" t="s">
        <v>424</v>
      </c>
      <c r="C250" t="s">
        <v>425</v>
      </c>
      <c r="D250" t="s">
        <v>280</v>
      </c>
      <c r="E250" t="s">
        <v>440</v>
      </c>
      <c r="F250" t="s">
        <v>440</v>
      </c>
      <c r="G250" t="s">
        <v>440</v>
      </c>
      <c r="I250" t="s">
        <v>280</v>
      </c>
      <c r="L250" s="5" t="s">
        <v>280</v>
      </c>
      <c r="M250" s="1" t="s">
        <v>5</v>
      </c>
      <c r="N250" s="1"/>
      <c r="O250" s="1"/>
      <c r="P250" s="1"/>
      <c r="Q250" s="1"/>
      <c r="R250" s="1"/>
      <c r="S250" s="2">
        <f>T250/0.5</f>
        <v>21.6138138665372</v>
      </c>
      <c r="T250" s="2">
        <v>10.8069069332686</v>
      </c>
      <c r="U250" s="1"/>
      <c r="V250" s="1"/>
      <c r="W250" s="1"/>
      <c r="X250" s="1"/>
      <c r="Y250" s="1"/>
      <c r="Z250" s="1">
        <f>AA250/0.5</f>
        <v>498</v>
      </c>
      <c r="AA250" s="1">
        <v>249</v>
      </c>
    </row>
    <row r="251" spans="1:27" x14ac:dyDescent="0.3">
      <c r="A251" t="s">
        <v>37</v>
      </c>
      <c r="B251" t="s">
        <v>424</v>
      </c>
      <c r="C251" t="s">
        <v>425</v>
      </c>
      <c r="D251" t="s">
        <v>281</v>
      </c>
      <c r="E251" t="s">
        <v>440</v>
      </c>
      <c r="F251" t="s">
        <v>440</v>
      </c>
      <c r="G251" t="s">
        <v>440</v>
      </c>
      <c r="I251" t="s">
        <v>281</v>
      </c>
      <c r="L251" s="5" t="s">
        <v>281</v>
      </c>
      <c r="M251" s="1" t="s">
        <v>5</v>
      </c>
      <c r="N251" s="2">
        <v>0.13279387365652101</v>
      </c>
      <c r="O251" s="1"/>
      <c r="P251" s="2">
        <v>6.6908634501007994E-2</v>
      </c>
      <c r="Q251" s="1"/>
      <c r="R251" s="1"/>
      <c r="S251" s="1"/>
      <c r="T251" s="1"/>
      <c r="U251" s="1">
        <v>5</v>
      </c>
      <c r="V251" s="1"/>
      <c r="W251" s="1">
        <v>3</v>
      </c>
      <c r="X251" s="1"/>
      <c r="Y251" s="1"/>
      <c r="Z251" s="1"/>
      <c r="AA251" s="1"/>
    </row>
    <row r="252" spans="1:27" x14ac:dyDescent="0.3">
      <c r="A252" t="s">
        <v>37</v>
      </c>
      <c r="B252" t="s">
        <v>424</v>
      </c>
      <c r="C252" t="s">
        <v>425</v>
      </c>
      <c r="D252" t="s">
        <v>282</v>
      </c>
      <c r="E252" t="s">
        <v>426</v>
      </c>
      <c r="F252" t="s">
        <v>427</v>
      </c>
      <c r="G252" t="s">
        <v>427</v>
      </c>
      <c r="I252" t="s">
        <v>282</v>
      </c>
      <c r="L252" s="5" t="s">
        <v>282</v>
      </c>
      <c r="M252" s="1" t="s">
        <v>5</v>
      </c>
      <c r="N252" s="2">
        <v>0.307303558379526</v>
      </c>
      <c r="O252" s="1"/>
      <c r="P252" s="1"/>
      <c r="Q252" s="1"/>
      <c r="R252" s="1"/>
      <c r="S252" s="1"/>
      <c r="T252" s="1"/>
      <c r="U252" s="1">
        <v>13</v>
      </c>
      <c r="V252" s="1"/>
      <c r="W252" s="1"/>
      <c r="X252" s="1"/>
      <c r="Y252" s="1"/>
      <c r="Z252" s="1"/>
      <c r="AA252" s="1"/>
    </row>
    <row r="253" spans="1:27" x14ac:dyDescent="0.3">
      <c r="A253" t="s">
        <v>37</v>
      </c>
      <c r="B253" t="s">
        <v>424</v>
      </c>
      <c r="C253" t="s">
        <v>425</v>
      </c>
      <c r="D253" t="s">
        <v>283</v>
      </c>
      <c r="E253" t="s">
        <v>426</v>
      </c>
      <c r="F253" t="s">
        <v>427</v>
      </c>
      <c r="G253" t="s">
        <v>427</v>
      </c>
      <c r="I253" t="s">
        <v>283</v>
      </c>
      <c r="L253" s="5" t="s">
        <v>283</v>
      </c>
      <c r="M253" s="1" t="s">
        <v>5</v>
      </c>
      <c r="N253" s="1"/>
      <c r="O253" s="1"/>
      <c r="P253" s="2">
        <v>23.710739012769999</v>
      </c>
      <c r="Q253" s="2">
        <v>1.4658482460553499</v>
      </c>
      <c r="R253" s="2">
        <v>0.23882937489175601</v>
      </c>
      <c r="S253" s="2"/>
      <c r="T253" s="1"/>
      <c r="U253" s="1"/>
      <c r="V253" s="1"/>
      <c r="W253" s="1">
        <v>411</v>
      </c>
      <c r="X253" s="1">
        <v>30</v>
      </c>
      <c r="Y253" s="1">
        <v>10</v>
      </c>
      <c r="Z253" s="1"/>
      <c r="AA253" s="1"/>
    </row>
    <row r="254" spans="1:27" x14ac:dyDescent="0.3">
      <c r="A254" t="s">
        <v>37</v>
      </c>
      <c r="B254" t="s">
        <v>424</v>
      </c>
      <c r="C254" t="s">
        <v>425</v>
      </c>
      <c r="D254" t="s">
        <v>284</v>
      </c>
      <c r="E254" t="s">
        <v>427</v>
      </c>
      <c r="F254" t="s">
        <v>427</v>
      </c>
      <c r="G254" t="s">
        <v>427</v>
      </c>
      <c r="I254" t="s">
        <v>284</v>
      </c>
      <c r="L254" s="5" t="s">
        <v>284</v>
      </c>
      <c r="M254" s="1" t="s">
        <v>5</v>
      </c>
      <c r="N254" s="1"/>
      <c r="O254" s="1"/>
      <c r="P254" s="2">
        <v>0.113513895907917</v>
      </c>
      <c r="Q254" s="1"/>
      <c r="R254" s="1"/>
      <c r="S254" s="1"/>
      <c r="T254" s="1"/>
      <c r="U254" s="1"/>
      <c r="V254" s="1"/>
      <c r="W254" s="1">
        <v>4</v>
      </c>
      <c r="X254" s="1"/>
      <c r="Y254" s="1"/>
      <c r="Z254" s="1"/>
      <c r="AA254" s="1"/>
    </row>
    <row r="255" spans="1:27" x14ac:dyDescent="0.3">
      <c r="A255" t="s">
        <v>37</v>
      </c>
      <c r="B255" t="s">
        <v>424</v>
      </c>
      <c r="C255" t="s">
        <v>425</v>
      </c>
      <c r="D255" t="s">
        <v>285</v>
      </c>
      <c r="E255" t="s">
        <v>427</v>
      </c>
      <c r="F255" t="s">
        <v>427</v>
      </c>
      <c r="G255" t="s">
        <v>427</v>
      </c>
      <c r="I255" t="s">
        <v>285</v>
      </c>
      <c r="L255" s="5" t="s">
        <v>285</v>
      </c>
      <c r="M255" s="1" t="s">
        <v>5</v>
      </c>
      <c r="N255" s="1"/>
      <c r="O255" s="1"/>
      <c r="P255" s="1"/>
      <c r="Q255" s="1"/>
      <c r="R255" s="1"/>
      <c r="S255" s="2">
        <f>T255/0.5</f>
        <v>0.33820872440792399</v>
      </c>
      <c r="T255" s="2">
        <v>0.16910436220396199</v>
      </c>
      <c r="U255" s="1"/>
      <c r="V255" s="1"/>
      <c r="W255" s="1"/>
      <c r="X255" s="1"/>
      <c r="Y255" s="1"/>
      <c r="Z255" s="1">
        <f>AA255/0.5</f>
        <v>32</v>
      </c>
      <c r="AA255" s="1">
        <v>16</v>
      </c>
    </row>
    <row r="256" spans="1:27" x14ac:dyDescent="0.3">
      <c r="A256" t="s">
        <v>37</v>
      </c>
      <c r="B256" t="s">
        <v>424</v>
      </c>
      <c r="C256" t="s">
        <v>425</v>
      </c>
      <c r="D256" t="s">
        <v>286</v>
      </c>
      <c r="E256" t="s">
        <v>426</v>
      </c>
      <c r="F256" t="s">
        <v>427</v>
      </c>
      <c r="G256" t="s">
        <v>427</v>
      </c>
      <c r="I256" t="s">
        <v>286</v>
      </c>
      <c r="L256" s="5" t="s">
        <v>286</v>
      </c>
      <c r="M256" s="1" t="s">
        <v>5</v>
      </c>
      <c r="N256" s="1"/>
      <c r="O256" s="1"/>
      <c r="P256" s="2">
        <v>9.2616934807896598</v>
      </c>
      <c r="Q256" s="2">
        <v>20.6839984150342</v>
      </c>
      <c r="R256" s="2">
        <v>0.37403396705704001</v>
      </c>
      <c r="S256" s="2"/>
      <c r="T256" s="1"/>
      <c r="U256" s="1"/>
      <c r="V256" s="1"/>
      <c r="W256" s="1">
        <v>52</v>
      </c>
      <c r="X256" s="1">
        <v>69</v>
      </c>
      <c r="Y256" s="1">
        <v>13</v>
      </c>
      <c r="Z256" s="1"/>
      <c r="AA256" s="1"/>
    </row>
    <row r="257" spans="1:27" x14ac:dyDescent="0.3">
      <c r="A257" t="s">
        <v>37</v>
      </c>
      <c r="B257" t="s">
        <v>424</v>
      </c>
      <c r="C257" t="s">
        <v>425</v>
      </c>
      <c r="D257" t="s">
        <v>287</v>
      </c>
      <c r="E257" t="s">
        <v>433</v>
      </c>
      <c r="F257" t="s">
        <v>427</v>
      </c>
      <c r="G257" t="s">
        <v>427</v>
      </c>
      <c r="I257" t="s">
        <v>287</v>
      </c>
      <c r="L257" s="5" t="s">
        <v>287</v>
      </c>
      <c r="M257" s="1" t="s">
        <v>5</v>
      </c>
      <c r="N257" s="1"/>
      <c r="O257" s="1"/>
      <c r="P257" s="1"/>
      <c r="Q257" s="1"/>
      <c r="R257" s="2">
        <v>1.16597889789819E-2</v>
      </c>
      <c r="S257" s="2"/>
      <c r="T257" s="1"/>
      <c r="U257" s="1"/>
      <c r="V257" s="1"/>
      <c r="W257" s="1"/>
      <c r="X257" s="1"/>
      <c r="Y257" s="1">
        <v>1</v>
      </c>
      <c r="Z257" s="1"/>
      <c r="AA257" s="1"/>
    </row>
    <row r="258" spans="1:27" x14ac:dyDescent="0.3">
      <c r="A258" t="s">
        <v>37</v>
      </c>
      <c r="B258" t="s">
        <v>441</v>
      </c>
      <c r="C258" t="s">
        <v>425</v>
      </c>
      <c r="D258" t="s">
        <v>476</v>
      </c>
      <c r="E258" t="s">
        <v>427</v>
      </c>
      <c r="F258" t="s">
        <v>427</v>
      </c>
      <c r="G258" t="s">
        <v>427</v>
      </c>
      <c r="I258" t="s">
        <v>288</v>
      </c>
      <c r="L258" s="5" t="s">
        <v>288</v>
      </c>
      <c r="M258" s="1" t="s">
        <v>5</v>
      </c>
      <c r="N258" s="1"/>
      <c r="O258" s="1"/>
      <c r="P258" s="2">
        <v>1.55667315019163</v>
      </c>
      <c r="Q258" s="1"/>
      <c r="R258" s="1"/>
      <c r="S258" s="1"/>
      <c r="T258" s="1"/>
      <c r="U258" s="1"/>
      <c r="V258" s="1"/>
      <c r="W258" s="1">
        <v>20</v>
      </c>
      <c r="X258" s="1"/>
      <c r="Y258" s="1"/>
      <c r="Z258" s="1"/>
      <c r="AA258" s="1"/>
    </row>
    <row r="259" spans="1:27" x14ac:dyDescent="0.3">
      <c r="A259" t="s">
        <v>37</v>
      </c>
      <c r="B259" t="s">
        <v>424</v>
      </c>
      <c r="C259" t="s">
        <v>425</v>
      </c>
      <c r="D259" t="s">
        <v>289</v>
      </c>
      <c r="E259" t="s">
        <v>427</v>
      </c>
      <c r="F259" t="s">
        <v>427</v>
      </c>
      <c r="G259" t="s">
        <v>427</v>
      </c>
      <c r="I259" t="s">
        <v>289</v>
      </c>
      <c r="L259" s="5" t="s">
        <v>289</v>
      </c>
      <c r="M259" s="1" t="s">
        <v>1</v>
      </c>
      <c r="N259" s="1"/>
      <c r="O259" s="1"/>
      <c r="P259" s="1"/>
      <c r="Q259" s="1"/>
      <c r="R259" s="2">
        <v>2.6851130556932602E-2</v>
      </c>
      <c r="S259" s="2"/>
      <c r="T259" s="1"/>
      <c r="U259" s="1"/>
      <c r="V259" s="1"/>
      <c r="W259" s="1"/>
      <c r="X259" s="1"/>
      <c r="Y259" s="1">
        <v>1</v>
      </c>
      <c r="Z259" s="1"/>
      <c r="AA259" s="1"/>
    </row>
    <row r="260" spans="1:27" x14ac:dyDescent="0.3">
      <c r="A260" t="s">
        <v>37</v>
      </c>
      <c r="B260" t="s">
        <v>424</v>
      </c>
      <c r="C260" t="s">
        <v>425</v>
      </c>
      <c r="D260" t="s">
        <v>290</v>
      </c>
      <c r="E260" t="s">
        <v>427</v>
      </c>
      <c r="F260" t="s">
        <v>427</v>
      </c>
      <c r="G260" t="s">
        <v>427</v>
      </c>
      <c r="I260" t="s">
        <v>290</v>
      </c>
      <c r="L260" s="5" t="s">
        <v>290</v>
      </c>
      <c r="M260" s="1" t="s">
        <v>1</v>
      </c>
      <c r="N260" s="1"/>
      <c r="O260" s="1"/>
      <c r="P260" s="1"/>
      <c r="Q260" s="1"/>
      <c r="R260" s="2">
        <v>0.970847075106129</v>
      </c>
      <c r="S260" s="2"/>
      <c r="T260" s="1"/>
      <c r="U260" s="1"/>
      <c r="V260" s="1"/>
      <c r="W260" s="1"/>
      <c r="X260" s="1"/>
      <c r="Y260" s="1">
        <v>17</v>
      </c>
      <c r="Z260" s="1"/>
      <c r="AA260" s="1"/>
    </row>
    <row r="261" spans="1:27" x14ac:dyDescent="0.3">
      <c r="A261" t="s">
        <v>37</v>
      </c>
      <c r="B261" t="s">
        <v>424</v>
      </c>
      <c r="C261" t="s">
        <v>425</v>
      </c>
      <c r="D261" t="s">
        <v>291</v>
      </c>
      <c r="E261" t="s">
        <v>426</v>
      </c>
      <c r="F261" t="s">
        <v>427</v>
      </c>
      <c r="G261" t="s">
        <v>427</v>
      </c>
      <c r="I261" t="s">
        <v>291</v>
      </c>
      <c r="L261" s="5" t="s">
        <v>291</v>
      </c>
      <c r="M261" s="1" t="s">
        <v>1</v>
      </c>
      <c r="N261" s="1"/>
      <c r="O261" s="1"/>
      <c r="P261" s="1"/>
      <c r="Q261" s="1"/>
      <c r="R261" s="2">
        <v>2.7332243033558501</v>
      </c>
      <c r="S261" s="2">
        <f>T261/0.5</f>
        <v>5.02597035155928E-2</v>
      </c>
      <c r="T261" s="2">
        <v>2.51298517577964E-2</v>
      </c>
      <c r="U261" s="1"/>
      <c r="V261" s="1"/>
      <c r="W261" s="1"/>
      <c r="X261" s="1"/>
      <c r="Y261" s="1">
        <v>51</v>
      </c>
      <c r="Z261" s="1">
        <f>AA261/0.5</f>
        <v>2</v>
      </c>
      <c r="AA261" s="1">
        <v>1</v>
      </c>
    </row>
    <row r="262" spans="1:27" x14ac:dyDescent="0.3">
      <c r="A262" t="s">
        <v>37</v>
      </c>
      <c r="B262" t="s">
        <v>424</v>
      </c>
      <c r="C262" t="s">
        <v>425</v>
      </c>
      <c r="D262" t="s">
        <v>292</v>
      </c>
      <c r="E262" t="s">
        <v>427</v>
      </c>
      <c r="F262" t="s">
        <v>427</v>
      </c>
      <c r="G262" t="s">
        <v>427</v>
      </c>
      <c r="I262" t="s">
        <v>292</v>
      </c>
      <c r="L262" s="5" t="s">
        <v>292</v>
      </c>
      <c r="M262" s="1" t="s">
        <v>1</v>
      </c>
      <c r="N262" s="1"/>
      <c r="O262" s="1"/>
      <c r="P262" s="2">
        <v>4.5305050352449303</v>
      </c>
      <c r="Q262" s="2">
        <v>6.9970986413229603</v>
      </c>
      <c r="R262" s="2">
        <v>0.19696424587289499</v>
      </c>
      <c r="S262" s="2"/>
      <c r="T262" s="1"/>
      <c r="U262" s="1"/>
      <c r="V262" s="1"/>
      <c r="W262" s="1">
        <v>167</v>
      </c>
      <c r="X262" s="1">
        <v>112</v>
      </c>
      <c r="Y262" s="1">
        <v>13</v>
      </c>
      <c r="Z262" s="1"/>
      <c r="AA262" s="1"/>
    </row>
    <row r="263" spans="1:27" x14ac:dyDescent="0.3">
      <c r="A263" t="s">
        <v>37</v>
      </c>
      <c r="B263" t="s">
        <v>424</v>
      </c>
      <c r="C263" t="s">
        <v>425</v>
      </c>
      <c r="D263" t="s">
        <v>477</v>
      </c>
      <c r="E263" t="s">
        <v>427</v>
      </c>
      <c r="F263" t="s">
        <v>427</v>
      </c>
      <c r="G263" t="s">
        <v>427</v>
      </c>
      <c r="H263" t="s">
        <v>432</v>
      </c>
      <c r="I263" t="s">
        <v>293</v>
      </c>
      <c r="L263" s="5" t="s">
        <v>293</v>
      </c>
      <c r="M263" s="1" t="s">
        <v>1</v>
      </c>
      <c r="N263" s="1"/>
      <c r="O263" s="2">
        <v>0.103819573505045</v>
      </c>
      <c r="P263" s="2">
        <v>7.2958014845374404</v>
      </c>
      <c r="Q263" s="1"/>
      <c r="R263" s="2">
        <v>5.4317103116843102</v>
      </c>
      <c r="S263" s="2">
        <f>T263/0.5</f>
        <v>6.2465144237172199</v>
      </c>
      <c r="T263" s="2">
        <v>3.1232572118586099</v>
      </c>
      <c r="U263" s="1"/>
      <c r="V263" s="1">
        <v>3</v>
      </c>
      <c r="W263" s="1">
        <v>64</v>
      </c>
      <c r="X263" s="1"/>
      <c r="Y263" s="1">
        <v>114</v>
      </c>
      <c r="Z263" s="1">
        <f>AA263/0.5</f>
        <v>146</v>
      </c>
      <c r="AA263" s="1">
        <v>73</v>
      </c>
    </row>
    <row r="264" spans="1:27" x14ac:dyDescent="0.3">
      <c r="A264" t="s">
        <v>37</v>
      </c>
      <c r="B264" t="s">
        <v>424</v>
      </c>
      <c r="C264" t="s">
        <v>425</v>
      </c>
      <c r="D264" t="s">
        <v>294</v>
      </c>
      <c r="E264" t="s">
        <v>427</v>
      </c>
      <c r="F264" t="s">
        <v>427</v>
      </c>
      <c r="G264" t="s">
        <v>427</v>
      </c>
      <c r="I264" t="s">
        <v>294</v>
      </c>
      <c r="L264" s="5" t="s">
        <v>294</v>
      </c>
      <c r="M264" s="1" t="s">
        <v>1</v>
      </c>
      <c r="N264" s="2">
        <v>1.2932664665051199</v>
      </c>
      <c r="O264" s="2">
        <v>0.32371879793599501</v>
      </c>
      <c r="P264" s="1"/>
      <c r="Q264" s="1"/>
      <c r="R264" s="2">
        <v>1.6894210042971199E-2</v>
      </c>
      <c r="S264" s="2"/>
      <c r="T264" s="1"/>
      <c r="U264" s="1">
        <v>32</v>
      </c>
      <c r="V264" s="1">
        <v>7</v>
      </c>
      <c r="W264" s="1"/>
      <c r="X264" s="1"/>
      <c r="Y264" s="1">
        <v>1</v>
      </c>
      <c r="Z264" s="1"/>
      <c r="AA264" s="1"/>
    </row>
    <row r="265" spans="1:27" x14ac:dyDescent="0.3">
      <c r="A265" t="s">
        <v>37</v>
      </c>
      <c r="B265" t="s">
        <v>424</v>
      </c>
      <c r="C265" t="s">
        <v>425</v>
      </c>
      <c r="D265" t="s">
        <v>299</v>
      </c>
      <c r="E265" t="s">
        <v>426</v>
      </c>
      <c r="F265" t="s">
        <v>427</v>
      </c>
      <c r="G265" t="s">
        <v>427</v>
      </c>
      <c r="H265" t="s">
        <v>432</v>
      </c>
      <c r="I265" t="s">
        <v>295</v>
      </c>
      <c r="L265" s="5" t="s">
        <v>295</v>
      </c>
      <c r="M265" s="1" t="s">
        <v>1</v>
      </c>
      <c r="N265" s="1"/>
      <c r="O265" s="2">
        <v>6.2420472680278699E-2</v>
      </c>
      <c r="P265" s="1"/>
      <c r="Q265" s="2">
        <v>7.72014300446572E-3</v>
      </c>
      <c r="R265" s="2">
        <v>6.4794560273909898</v>
      </c>
      <c r="S265" s="2"/>
      <c r="T265" s="1"/>
      <c r="U265" s="1"/>
      <c r="V265" s="1">
        <v>1</v>
      </c>
      <c r="W265" s="1"/>
      <c r="X265" s="1">
        <v>1</v>
      </c>
      <c r="Y265" s="1">
        <v>62</v>
      </c>
      <c r="Z265" s="1"/>
      <c r="AA265" s="1"/>
    </row>
    <row r="266" spans="1:27" x14ac:dyDescent="0.3">
      <c r="A266" t="s">
        <v>37</v>
      </c>
      <c r="B266" t="s">
        <v>424</v>
      </c>
      <c r="C266" t="s">
        <v>425</v>
      </c>
      <c r="D266" t="s">
        <v>296</v>
      </c>
      <c r="E266" t="s">
        <v>427</v>
      </c>
      <c r="F266" t="s">
        <v>427</v>
      </c>
      <c r="G266" t="s">
        <v>427</v>
      </c>
      <c r="I266" t="s">
        <v>296</v>
      </c>
      <c r="L266" s="5" t="s">
        <v>296</v>
      </c>
      <c r="M266" s="1" t="s">
        <v>1</v>
      </c>
      <c r="N266" s="1"/>
      <c r="O266" s="1"/>
      <c r="P266" s="2">
        <v>8.8956381103008404</v>
      </c>
      <c r="Q266" s="2">
        <v>4.3563091698914501E-2</v>
      </c>
      <c r="R266" s="1"/>
      <c r="S266" s="1"/>
      <c r="T266" s="1"/>
      <c r="U266" s="1"/>
      <c r="V266" s="1"/>
      <c r="W266" s="1">
        <v>35</v>
      </c>
      <c r="X266" s="1">
        <v>1</v>
      </c>
      <c r="Y266" s="1"/>
      <c r="Z266" s="1"/>
      <c r="AA266" s="1"/>
    </row>
    <row r="267" spans="1:27" x14ac:dyDescent="0.3">
      <c r="A267" t="s">
        <v>37</v>
      </c>
      <c r="B267" t="s">
        <v>424</v>
      </c>
      <c r="C267" t="s">
        <v>425</v>
      </c>
      <c r="D267" t="s">
        <v>298</v>
      </c>
      <c r="E267" t="s">
        <v>427</v>
      </c>
      <c r="F267" t="s">
        <v>427</v>
      </c>
      <c r="G267" t="s">
        <v>427</v>
      </c>
      <c r="H267" t="s">
        <v>432</v>
      </c>
      <c r="I267" t="s">
        <v>297</v>
      </c>
      <c r="L267" s="5" t="s">
        <v>297</v>
      </c>
      <c r="M267" s="1" t="s">
        <v>1</v>
      </c>
      <c r="N267" s="2">
        <v>0.11416145112406401</v>
      </c>
      <c r="O267" s="2">
        <v>0.168861827379788</v>
      </c>
      <c r="P267" s="1"/>
      <c r="Q267" s="1"/>
      <c r="R267" s="1"/>
      <c r="S267" s="1"/>
      <c r="T267" s="1"/>
      <c r="U267" s="1">
        <v>2</v>
      </c>
      <c r="V267" s="1">
        <v>4</v>
      </c>
      <c r="W267" s="1"/>
      <c r="X267" s="1"/>
      <c r="Y267" s="1"/>
      <c r="Z267" s="1"/>
      <c r="AA267" s="1"/>
    </row>
    <row r="268" spans="1:27" x14ac:dyDescent="0.3">
      <c r="A268" t="s">
        <v>37</v>
      </c>
      <c r="B268" t="s">
        <v>424</v>
      </c>
      <c r="C268" t="s">
        <v>425</v>
      </c>
      <c r="D268" t="s">
        <v>298</v>
      </c>
      <c r="E268" t="s">
        <v>427</v>
      </c>
      <c r="F268" t="s">
        <v>427</v>
      </c>
      <c r="G268" t="s">
        <v>427</v>
      </c>
      <c r="I268" t="s">
        <v>298</v>
      </c>
      <c r="L268" s="5" t="s">
        <v>298</v>
      </c>
      <c r="M268" s="1" t="s">
        <v>1</v>
      </c>
      <c r="N268" s="1"/>
      <c r="O268" s="1"/>
      <c r="P268" s="2">
        <v>6.1361740741517998E-2</v>
      </c>
      <c r="Q268" s="2">
        <v>9.4053760040081393E-3</v>
      </c>
      <c r="R268" s="2">
        <v>0.52675196112209899</v>
      </c>
      <c r="S268" s="2"/>
      <c r="T268" s="1"/>
      <c r="U268" s="1"/>
      <c r="V268" s="1"/>
      <c r="W268" s="1">
        <v>3</v>
      </c>
      <c r="X268" s="1">
        <v>1</v>
      </c>
      <c r="Y268" s="1">
        <v>16</v>
      </c>
      <c r="Z268" s="1"/>
      <c r="AA268" s="1"/>
    </row>
    <row r="269" spans="1:27" x14ac:dyDescent="0.3">
      <c r="A269" t="s">
        <v>37</v>
      </c>
      <c r="B269" t="s">
        <v>424</v>
      </c>
      <c r="C269" t="s">
        <v>425</v>
      </c>
      <c r="D269" t="s">
        <v>299</v>
      </c>
      <c r="E269" t="s">
        <v>426</v>
      </c>
      <c r="F269" t="s">
        <v>427</v>
      </c>
      <c r="G269" t="s">
        <v>427</v>
      </c>
      <c r="I269" t="s">
        <v>299</v>
      </c>
      <c r="L269" s="5" t="s">
        <v>299</v>
      </c>
      <c r="M269" s="1" t="s">
        <v>1</v>
      </c>
      <c r="N269" s="1"/>
      <c r="O269" s="1"/>
      <c r="P269" s="1"/>
      <c r="Q269" s="1"/>
      <c r="R269" s="1"/>
      <c r="S269" s="2">
        <f>T269/0.5</f>
        <v>0.81162781664625605</v>
      </c>
      <c r="T269" s="2">
        <v>0.40581390832312803</v>
      </c>
      <c r="U269" s="1"/>
      <c r="V269" s="1"/>
      <c r="W269" s="1"/>
      <c r="X269" s="1"/>
      <c r="Y269" s="1"/>
      <c r="Z269" s="1">
        <f>AA269/0.5</f>
        <v>22</v>
      </c>
      <c r="AA269" s="1">
        <v>11</v>
      </c>
    </row>
    <row r="270" spans="1:27" x14ac:dyDescent="0.3">
      <c r="A270" t="s">
        <v>37</v>
      </c>
      <c r="B270" t="s">
        <v>424</v>
      </c>
      <c r="C270" t="s">
        <v>425</v>
      </c>
      <c r="D270" t="s">
        <v>300</v>
      </c>
      <c r="E270" t="s">
        <v>427</v>
      </c>
      <c r="F270" t="s">
        <v>427</v>
      </c>
      <c r="G270" t="s">
        <v>427</v>
      </c>
      <c r="I270" t="s">
        <v>300</v>
      </c>
      <c r="L270" s="5" t="s">
        <v>300</v>
      </c>
      <c r="M270" s="1" t="s">
        <v>1</v>
      </c>
      <c r="N270" s="2">
        <v>9.6957120427032303E-3</v>
      </c>
      <c r="O270" s="1"/>
      <c r="P270" s="1"/>
      <c r="Q270" s="1"/>
      <c r="R270" s="1"/>
      <c r="S270" s="1"/>
      <c r="T270" s="1"/>
      <c r="U270" s="1">
        <v>1</v>
      </c>
      <c r="V270" s="1"/>
      <c r="W270" s="1"/>
      <c r="X270" s="1"/>
      <c r="Y270" s="1"/>
      <c r="Z270" s="1"/>
      <c r="AA270" s="1"/>
    </row>
    <row r="271" spans="1:27" x14ac:dyDescent="0.3">
      <c r="A271" t="s">
        <v>37</v>
      </c>
      <c r="B271" t="s">
        <v>424</v>
      </c>
      <c r="C271" t="s">
        <v>425</v>
      </c>
      <c r="D271" t="s">
        <v>301</v>
      </c>
      <c r="E271" t="s">
        <v>427</v>
      </c>
      <c r="F271" t="s">
        <v>427</v>
      </c>
      <c r="G271" t="s">
        <v>427</v>
      </c>
      <c r="I271" t="s">
        <v>301</v>
      </c>
      <c r="L271" s="5" t="s">
        <v>301</v>
      </c>
      <c r="M271" s="1" t="s">
        <v>1</v>
      </c>
      <c r="N271" s="2">
        <v>0.37466755891981202</v>
      </c>
      <c r="O271" s="1"/>
      <c r="P271" s="1"/>
      <c r="Q271" s="1"/>
      <c r="R271" s="1"/>
      <c r="S271" s="1"/>
      <c r="T271" s="1"/>
      <c r="U271" s="1">
        <v>14</v>
      </c>
      <c r="V271" s="1"/>
      <c r="W271" s="1"/>
      <c r="X271" s="1"/>
      <c r="Y271" s="1"/>
      <c r="Z271" s="1"/>
      <c r="AA271" s="1"/>
    </row>
    <row r="272" spans="1:27" x14ac:dyDescent="0.3">
      <c r="A272" t="s">
        <v>37</v>
      </c>
      <c r="B272" t="s">
        <v>424</v>
      </c>
      <c r="C272" t="s">
        <v>425</v>
      </c>
      <c r="D272" t="s">
        <v>302</v>
      </c>
      <c r="E272" t="s">
        <v>426</v>
      </c>
      <c r="F272" t="s">
        <v>427</v>
      </c>
      <c r="G272" t="s">
        <v>427</v>
      </c>
      <c r="I272" t="s">
        <v>302</v>
      </c>
      <c r="L272" s="5" t="s">
        <v>302</v>
      </c>
      <c r="M272" s="1" t="s">
        <v>1</v>
      </c>
      <c r="N272" s="1"/>
      <c r="O272" s="1"/>
      <c r="P272" s="1"/>
      <c r="Q272" s="1"/>
      <c r="R272" s="2">
        <v>1.20521161384386</v>
      </c>
      <c r="S272" s="2">
        <f>T272/0.5</f>
        <v>0.94802527166914996</v>
      </c>
      <c r="T272" s="2">
        <v>0.47401263583457498</v>
      </c>
      <c r="U272" s="1"/>
      <c r="V272" s="1"/>
      <c r="W272" s="1"/>
      <c r="X272" s="1"/>
      <c r="Y272" s="1">
        <v>14</v>
      </c>
      <c r="Z272" s="1">
        <f>AA272/0.5</f>
        <v>40</v>
      </c>
      <c r="AA272" s="1">
        <v>20</v>
      </c>
    </row>
    <row r="273" spans="1:27" x14ac:dyDescent="0.3">
      <c r="A273" t="s">
        <v>37</v>
      </c>
      <c r="B273" t="s">
        <v>424</v>
      </c>
      <c r="C273" t="s">
        <v>425</v>
      </c>
      <c r="D273" t="s">
        <v>309</v>
      </c>
      <c r="E273" t="s">
        <v>427</v>
      </c>
      <c r="F273" t="s">
        <v>427</v>
      </c>
      <c r="G273" t="s">
        <v>427</v>
      </c>
      <c r="H273" t="s">
        <v>432</v>
      </c>
      <c r="I273" t="s">
        <v>303</v>
      </c>
      <c r="L273" s="5" t="s">
        <v>303</v>
      </c>
      <c r="M273" s="1" t="s">
        <v>1</v>
      </c>
      <c r="N273" s="1"/>
      <c r="O273" s="2">
        <v>0.16116632785599599</v>
      </c>
      <c r="P273" s="1"/>
      <c r="Q273" s="1"/>
      <c r="R273" s="1"/>
      <c r="S273" s="1"/>
      <c r="T273" s="1"/>
      <c r="U273" s="1"/>
      <c r="V273" s="1">
        <v>6</v>
      </c>
      <c r="W273" s="1"/>
      <c r="X273" s="1"/>
      <c r="Y273" s="1"/>
      <c r="Z273" s="1"/>
      <c r="AA273" s="1"/>
    </row>
    <row r="274" spans="1:27" x14ac:dyDescent="0.3">
      <c r="A274" t="s">
        <v>37</v>
      </c>
      <c r="B274" t="s">
        <v>424</v>
      </c>
      <c r="C274" t="s">
        <v>425</v>
      </c>
      <c r="D274" t="s">
        <v>304</v>
      </c>
      <c r="E274" t="s">
        <v>449</v>
      </c>
      <c r="F274" t="s">
        <v>427</v>
      </c>
      <c r="G274" t="s">
        <v>427</v>
      </c>
      <c r="I274" t="s">
        <v>304</v>
      </c>
      <c r="L274" s="5" t="s">
        <v>304</v>
      </c>
      <c r="M274" s="1" t="s">
        <v>1</v>
      </c>
      <c r="N274" s="1"/>
      <c r="O274" s="1"/>
      <c r="P274" s="2">
        <v>0.35624924717642997</v>
      </c>
      <c r="Q274" s="1"/>
      <c r="R274" s="1"/>
      <c r="S274" s="1"/>
      <c r="T274" s="1"/>
      <c r="U274" s="1"/>
      <c r="V274" s="1"/>
      <c r="W274" s="1">
        <v>22</v>
      </c>
      <c r="X274" s="1"/>
      <c r="Y274" s="1"/>
      <c r="Z274" s="1"/>
      <c r="AA274" s="1"/>
    </row>
    <row r="275" spans="1:27" x14ac:dyDescent="0.3">
      <c r="A275" t="s">
        <v>37</v>
      </c>
      <c r="B275" t="s">
        <v>424</v>
      </c>
      <c r="C275" t="s">
        <v>425</v>
      </c>
      <c r="D275" t="s">
        <v>305</v>
      </c>
      <c r="E275" t="s">
        <v>440</v>
      </c>
      <c r="F275" t="s">
        <v>440</v>
      </c>
      <c r="G275" t="s">
        <v>440</v>
      </c>
      <c r="I275" t="s">
        <v>305</v>
      </c>
      <c r="L275" s="5" t="s">
        <v>305</v>
      </c>
      <c r="M275" s="1" t="s">
        <v>1</v>
      </c>
      <c r="N275" s="1"/>
      <c r="O275" s="1"/>
      <c r="P275" s="1"/>
      <c r="Q275" s="1"/>
      <c r="R275" s="2">
        <v>0.45718124463138199</v>
      </c>
      <c r="S275" s="2"/>
      <c r="T275" s="1"/>
      <c r="U275" s="1"/>
      <c r="V275" s="1"/>
      <c r="W275" s="1"/>
      <c r="X275" s="1"/>
      <c r="Y275" s="1">
        <v>12</v>
      </c>
      <c r="Z275" s="1"/>
      <c r="AA275" s="1"/>
    </row>
    <row r="276" spans="1:27" x14ac:dyDescent="0.3">
      <c r="A276" t="s">
        <v>427</v>
      </c>
      <c r="B276" t="s">
        <v>427</v>
      </c>
      <c r="C276" t="s">
        <v>427</v>
      </c>
      <c r="D276" t="s">
        <v>427</v>
      </c>
      <c r="E276" t="s">
        <v>427</v>
      </c>
      <c r="F276" t="s">
        <v>427</v>
      </c>
      <c r="G276" t="s">
        <v>427</v>
      </c>
      <c r="H276" t="s">
        <v>437</v>
      </c>
      <c r="I276" t="s">
        <v>306</v>
      </c>
      <c r="L276" s="5" t="s">
        <v>306</v>
      </c>
      <c r="M276" s="1" t="s">
        <v>1</v>
      </c>
      <c r="N276" s="1"/>
      <c r="O276" s="1"/>
      <c r="P276" s="1"/>
      <c r="Q276" s="2">
        <v>0.21977397509312999</v>
      </c>
      <c r="R276" s="1"/>
      <c r="S276" s="1"/>
      <c r="T276" s="1"/>
      <c r="U276" s="1"/>
      <c r="V276" s="1"/>
      <c r="W276" s="1"/>
      <c r="X276" s="1">
        <v>4</v>
      </c>
      <c r="Y276" s="1"/>
      <c r="Z276" s="1"/>
      <c r="AA276" s="1"/>
    </row>
    <row r="277" spans="1:27" x14ac:dyDescent="0.3">
      <c r="A277" t="s">
        <v>37</v>
      </c>
      <c r="B277" t="s">
        <v>424</v>
      </c>
      <c r="C277" t="s">
        <v>425</v>
      </c>
      <c r="D277" t="s">
        <v>307</v>
      </c>
      <c r="E277" t="s">
        <v>427</v>
      </c>
      <c r="F277" t="s">
        <v>427</v>
      </c>
      <c r="G277" t="s">
        <v>427</v>
      </c>
      <c r="I277" t="s">
        <v>307</v>
      </c>
      <c r="L277" s="5" t="s">
        <v>307</v>
      </c>
      <c r="M277" s="1" t="s">
        <v>1</v>
      </c>
      <c r="N277" s="1"/>
      <c r="O277" s="1"/>
      <c r="P277" s="2">
        <v>1.0075812306275401E-2</v>
      </c>
      <c r="Q277" s="1"/>
      <c r="R277" s="1"/>
      <c r="S277" s="2">
        <f>T277/0.5</f>
        <v>0.32562056496614</v>
      </c>
      <c r="T277" s="2">
        <v>0.16281028248307</v>
      </c>
      <c r="U277" s="1"/>
      <c r="V277" s="1"/>
      <c r="W277" s="1">
        <v>1</v>
      </c>
      <c r="X277" s="1"/>
      <c r="Y277" s="1"/>
      <c r="Z277" s="1">
        <f>AA277/0.5</f>
        <v>4</v>
      </c>
      <c r="AA277" s="1">
        <v>2</v>
      </c>
    </row>
    <row r="278" spans="1:27" x14ac:dyDescent="0.3">
      <c r="A278" t="s">
        <v>37</v>
      </c>
      <c r="B278" t="s">
        <v>424</v>
      </c>
      <c r="C278" t="s">
        <v>425</v>
      </c>
      <c r="D278" t="s">
        <v>478</v>
      </c>
      <c r="E278" t="s">
        <v>427</v>
      </c>
      <c r="F278" t="s">
        <v>427</v>
      </c>
      <c r="G278" t="s">
        <v>427</v>
      </c>
      <c r="H278" t="s">
        <v>432</v>
      </c>
      <c r="I278" t="s">
        <v>308</v>
      </c>
      <c r="L278" s="5" t="s">
        <v>308</v>
      </c>
      <c r="M278" s="1" t="s">
        <v>1</v>
      </c>
      <c r="N278" s="1"/>
      <c r="O278" s="2">
        <v>1.07356907281922E-2</v>
      </c>
      <c r="P278" s="1"/>
      <c r="Q278" s="1"/>
      <c r="R278" s="1"/>
      <c r="S278" s="1"/>
      <c r="T278" s="1"/>
      <c r="U278" s="1"/>
      <c r="V278" s="1">
        <v>1</v>
      </c>
      <c r="W278" s="1"/>
      <c r="X278" s="1"/>
      <c r="Y278" s="1"/>
      <c r="Z278" s="1"/>
      <c r="AA278" s="1"/>
    </row>
    <row r="279" spans="1:27" x14ac:dyDescent="0.3">
      <c r="A279" t="s">
        <v>37</v>
      </c>
      <c r="B279" t="s">
        <v>424</v>
      </c>
      <c r="C279" t="s">
        <v>425</v>
      </c>
      <c r="D279" t="s">
        <v>309</v>
      </c>
      <c r="E279" t="s">
        <v>427</v>
      </c>
      <c r="F279" t="s">
        <v>427</v>
      </c>
      <c r="G279" t="s">
        <v>427</v>
      </c>
      <c r="I279" t="s">
        <v>309</v>
      </c>
      <c r="L279" s="5" t="s">
        <v>309</v>
      </c>
      <c r="M279" s="1" t="s">
        <v>1</v>
      </c>
      <c r="N279" s="1"/>
      <c r="O279" s="1"/>
      <c r="P279" s="1"/>
      <c r="Q279" s="1"/>
      <c r="R279" s="2">
        <v>5.4932873354770102E-2</v>
      </c>
      <c r="S279" s="2"/>
      <c r="T279" s="1"/>
      <c r="U279" s="1"/>
      <c r="V279" s="1"/>
      <c r="W279" s="1"/>
      <c r="X279" s="1"/>
      <c r="Y279" s="1">
        <v>1</v>
      </c>
      <c r="Z279" s="1"/>
      <c r="AA279" s="1"/>
    </row>
    <row r="280" spans="1:27" x14ac:dyDescent="0.3">
      <c r="A280" t="s">
        <v>37</v>
      </c>
      <c r="B280" t="s">
        <v>441</v>
      </c>
      <c r="C280" t="s">
        <v>425</v>
      </c>
      <c r="D280" t="s">
        <v>310</v>
      </c>
      <c r="E280" t="s">
        <v>427</v>
      </c>
      <c r="F280" t="s">
        <v>427</v>
      </c>
      <c r="G280" t="s">
        <v>427</v>
      </c>
      <c r="I280" t="s">
        <v>310</v>
      </c>
      <c r="L280" s="5" t="s">
        <v>310</v>
      </c>
      <c r="M280" s="1" t="s">
        <v>1</v>
      </c>
      <c r="N280" s="1"/>
      <c r="O280" s="1"/>
      <c r="P280" s="1"/>
      <c r="Q280" s="1"/>
      <c r="R280" s="2">
        <v>0.21237460623705801</v>
      </c>
      <c r="S280" s="2"/>
      <c r="T280" s="1"/>
      <c r="U280" s="1"/>
      <c r="V280" s="1"/>
      <c r="W280" s="1"/>
      <c r="X280" s="1"/>
      <c r="Y280" s="1">
        <v>3</v>
      </c>
      <c r="Z280" s="1"/>
      <c r="AA280" s="1"/>
    </row>
    <row r="281" spans="1:27" x14ac:dyDescent="0.3">
      <c r="A281" t="s">
        <v>427</v>
      </c>
      <c r="B281" t="s">
        <v>427</v>
      </c>
      <c r="C281" t="s">
        <v>427</v>
      </c>
      <c r="D281" t="s">
        <v>427</v>
      </c>
      <c r="E281" t="s">
        <v>427</v>
      </c>
      <c r="F281" t="s">
        <v>427</v>
      </c>
      <c r="G281" t="s">
        <v>427</v>
      </c>
      <c r="H281" t="s">
        <v>437</v>
      </c>
      <c r="I281" t="s">
        <v>311</v>
      </c>
      <c r="L281" s="5" t="s">
        <v>311</v>
      </c>
      <c r="M281" s="1" t="s">
        <v>1</v>
      </c>
      <c r="N281" s="2">
        <v>1.5715115435510602E-2</v>
      </c>
      <c r="O281" s="1"/>
      <c r="P281" s="1"/>
      <c r="Q281" s="1"/>
      <c r="R281" s="1"/>
      <c r="S281" s="1"/>
      <c r="T281" s="1"/>
      <c r="U281" s="1">
        <v>1</v>
      </c>
      <c r="V281" s="1"/>
      <c r="W281" s="1"/>
      <c r="X281" s="1"/>
      <c r="Y281" s="1"/>
      <c r="Z281" s="1"/>
      <c r="AA281" s="1"/>
    </row>
    <row r="282" spans="1:27" x14ac:dyDescent="0.3">
      <c r="A282" t="s">
        <v>37</v>
      </c>
      <c r="B282" t="s">
        <v>424</v>
      </c>
      <c r="C282" t="s">
        <v>425</v>
      </c>
      <c r="D282" t="s">
        <v>312</v>
      </c>
      <c r="E282" t="s">
        <v>426</v>
      </c>
      <c r="F282" t="s">
        <v>427</v>
      </c>
      <c r="G282" t="s">
        <v>427</v>
      </c>
      <c r="I282" t="s">
        <v>312</v>
      </c>
      <c r="L282" s="5" t="s">
        <v>312</v>
      </c>
      <c r="M282" s="1" t="s">
        <v>1</v>
      </c>
      <c r="N282" s="1"/>
      <c r="O282" s="1"/>
      <c r="P282" s="1"/>
      <c r="Q282" s="1"/>
      <c r="R282" s="1"/>
      <c r="S282" s="2">
        <f>T282/0.5</f>
        <v>0.16728366594867161</v>
      </c>
      <c r="T282" s="2">
        <v>8.3641832974335806E-2</v>
      </c>
      <c r="U282" s="1"/>
      <c r="V282" s="1"/>
      <c r="W282" s="1"/>
      <c r="X282" s="1"/>
      <c r="Y282" s="1"/>
      <c r="Z282" s="1">
        <f>AA282/0.5</f>
        <v>10</v>
      </c>
      <c r="AA282" s="1">
        <v>5</v>
      </c>
    </row>
    <row r="283" spans="1:27" x14ac:dyDescent="0.3">
      <c r="A283" t="s">
        <v>37</v>
      </c>
      <c r="B283" t="s">
        <v>424</v>
      </c>
      <c r="C283" t="s">
        <v>425</v>
      </c>
      <c r="D283" t="s">
        <v>313</v>
      </c>
      <c r="E283" t="s">
        <v>426</v>
      </c>
      <c r="F283" t="s">
        <v>427</v>
      </c>
      <c r="G283" t="s">
        <v>427</v>
      </c>
      <c r="I283" t="s">
        <v>313</v>
      </c>
      <c r="L283" s="5" t="s">
        <v>313</v>
      </c>
      <c r="M283" s="1" t="s">
        <v>1</v>
      </c>
      <c r="N283" s="1"/>
      <c r="O283" s="1"/>
      <c r="P283" s="1"/>
      <c r="Q283" s="1"/>
      <c r="R283" s="2">
        <v>0.112669304807874</v>
      </c>
      <c r="S283" s="2"/>
      <c r="T283" s="1"/>
      <c r="U283" s="1"/>
      <c r="V283" s="1"/>
      <c r="W283" s="1"/>
      <c r="X283" s="1"/>
      <c r="Y283" s="1">
        <v>6</v>
      </c>
      <c r="Z283" s="1"/>
      <c r="AA283" s="1"/>
    </row>
    <row r="284" spans="1:27" x14ac:dyDescent="0.3">
      <c r="A284" t="s">
        <v>37</v>
      </c>
      <c r="B284" t="s">
        <v>424</v>
      </c>
      <c r="C284" t="s">
        <v>425</v>
      </c>
      <c r="D284" t="s">
        <v>314</v>
      </c>
      <c r="E284" t="s">
        <v>426</v>
      </c>
      <c r="F284" t="s">
        <v>427</v>
      </c>
      <c r="G284" t="s">
        <v>427</v>
      </c>
      <c r="I284" t="s">
        <v>314</v>
      </c>
      <c r="L284" s="5" t="s">
        <v>314</v>
      </c>
      <c r="M284" s="1" t="s">
        <v>1</v>
      </c>
      <c r="N284" s="1"/>
      <c r="O284" s="1"/>
      <c r="P284" s="2">
        <v>0.12596351499300701</v>
      </c>
      <c r="Q284" s="2">
        <v>0.11188062664543499</v>
      </c>
      <c r="R284" s="2">
        <v>3.3174335608653203E-2</v>
      </c>
      <c r="S284" s="2"/>
      <c r="T284" s="1"/>
      <c r="U284" s="1"/>
      <c r="V284" s="1"/>
      <c r="W284" s="1">
        <v>9</v>
      </c>
      <c r="X284" s="1">
        <v>10</v>
      </c>
      <c r="Y284" s="1">
        <v>1</v>
      </c>
      <c r="Z284" s="1"/>
      <c r="AA284" s="1"/>
    </row>
    <row r="285" spans="1:27" x14ac:dyDescent="0.3">
      <c r="K285" s="1" t="s">
        <v>38</v>
      </c>
      <c r="L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3">
      <c r="A286" t="s">
        <v>38</v>
      </c>
      <c r="B286" t="s">
        <v>424</v>
      </c>
      <c r="C286" t="s">
        <v>425</v>
      </c>
      <c r="D286" t="s">
        <v>315</v>
      </c>
      <c r="E286" t="s">
        <v>427</v>
      </c>
      <c r="F286" t="s">
        <v>427</v>
      </c>
      <c r="G286" t="s">
        <v>427</v>
      </c>
      <c r="I286" t="s">
        <v>315</v>
      </c>
      <c r="L286" s="5" t="s">
        <v>315</v>
      </c>
      <c r="M286" s="1" t="s">
        <v>1</v>
      </c>
      <c r="N286" s="2">
        <v>3.1323624410847302</v>
      </c>
      <c r="O286" s="2">
        <v>1.6830142311605002E-2</v>
      </c>
      <c r="P286" s="1"/>
      <c r="Q286" s="1"/>
      <c r="R286" s="2">
        <v>1.6265392854554001E-2</v>
      </c>
      <c r="S286" s="2"/>
      <c r="T286" s="1"/>
      <c r="U286" s="1">
        <v>6</v>
      </c>
      <c r="V286" s="1">
        <v>3</v>
      </c>
      <c r="W286" s="1"/>
      <c r="X286" s="1"/>
      <c r="Y286" s="1">
        <v>1</v>
      </c>
      <c r="Z286" s="1"/>
      <c r="AA286" s="1"/>
    </row>
    <row r="287" spans="1:27" x14ac:dyDescent="0.3">
      <c r="K287" s="1" t="s">
        <v>39</v>
      </c>
      <c r="L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3">
      <c r="A288" t="s">
        <v>479</v>
      </c>
      <c r="B288" t="s">
        <v>424</v>
      </c>
      <c r="C288" t="s">
        <v>425</v>
      </c>
      <c r="D288" t="s">
        <v>316</v>
      </c>
      <c r="E288" t="s">
        <v>427</v>
      </c>
      <c r="F288" t="s">
        <v>427</v>
      </c>
      <c r="G288" t="s">
        <v>427</v>
      </c>
      <c r="I288" t="s">
        <v>316</v>
      </c>
      <c r="L288" s="5" t="s">
        <v>316</v>
      </c>
      <c r="M288" s="1" t="s">
        <v>1</v>
      </c>
      <c r="N288" s="2">
        <v>3.7382250457268999E-2</v>
      </c>
      <c r="O288" s="1"/>
      <c r="P288" s="1"/>
      <c r="Q288" s="1"/>
      <c r="R288" s="1"/>
      <c r="S288" s="1"/>
      <c r="T288" s="1"/>
      <c r="U288" s="1">
        <v>1</v>
      </c>
      <c r="V288" s="1"/>
      <c r="W288" s="1"/>
      <c r="X288" s="1"/>
      <c r="Y288" s="1"/>
      <c r="Z288" s="1"/>
      <c r="AA288" s="1"/>
    </row>
    <row r="289" spans="1:27" x14ac:dyDescent="0.3">
      <c r="A289" t="s">
        <v>480</v>
      </c>
      <c r="B289" t="s">
        <v>424</v>
      </c>
      <c r="C289" t="s">
        <v>425</v>
      </c>
      <c r="D289" t="s">
        <v>317</v>
      </c>
      <c r="E289" t="s">
        <v>426</v>
      </c>
      <c r="F289" t="s">
        <v>427</v>
      </c>
      <c r="G289" t="s">
        <v>427</v>
      </c>
      <c r="I289" t="s">
        <v>317</v>
      </c>
      <c r="L289" s="5" t="s">
        <v>317</v>
      </c>
      <c r="M289" s="1" t="s">
        <v>1</v>
      </c>
      <c r="N289" s="1"/>
      <c r="O289" s="2">
        <v>0.23649984905590901</v>
      </c>
      <c r="P289" s="1"/>
      <c r="Q289" s="1"/>
      <c r="R289" s="1"/>
      <c r="S289" s="1"/>
      <c r="T289" s="1"/>
      <c r="U289" s="1"/>
      <c r="V289" s="1">
        <v>7</v>
      </c>
      <c r="W289" s="1"/>
      <c r="X289" s="1"/>
      <c r="Y289" s="1"/>
      <c r="Z289" s="1"/>
      <c r="AA289" s="1"/>
    </row>
    <row r="290" spans="1:27" x14ac:dyDescent="0.3">
      <c r="K290" s="1" t="s">
        <v>40</v>
      </c>
      <c r="L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3">
      <c r="A291" t="s">
        <v>40</v>
      </c>
      <c r="B291" t="s">
        <v>424</v>
      </c>
      <c r="C291" t="s">
        <v>425</v>
      </c>
      <c r="D291" t="s">
        <v>318</v>
      </c>
      <c r="E291" t="s">
        <v>427</v>
      </c>
      <c r="F291" t="s">
        <v>427</v>
      </c>
      <c r="G291" t="s">
        <v>427</v>
      </c>
      <c r="I291" t="s">
        <v>318</v>
      </c>
      <c r="L291" s="5" t="s">
        <v>318</v>
      </c>
      <c r="M291" s="1" t="s">
        <v>1</v>
      </c>
      <c r="N291" s="1"/>
      <c r="O291" s="2">
        <v>1.38240748041714</v>
      </c>
      <c r="P291" s="1"/>
      <c r="Q291" s="1"/>
      <c r="R291" s="1"/>
      <c r="S291" s="1"/>
      <c r="T291" s="1"/>
      <c r="U291" s="1"/>
      <c r="V291" s="1">
        <v>6</v>
      </c>
      <c r="W291" s="1"/>
      <c r="X291" s="1"/>
      <c r="Y291" s="1"/>
      <c r="Z291" s="1"/>
      <c r="AA291" s="1"/>
    </row>
    <row r="292" spans="1:27" x14ac:dyDescent="0.3">
      <c r="K292" s="1" t="s">
        <v>41</v>
      </c>
      <c r="L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3">
      <c r="A293" t="s">
        <v>41</v>
      </c>
      <c r="B293" t="s">
        <v>424</v>
      </c>
      <c r="C293" t="s">
        <v>425</v>
      </c>
      <c r="D293" t="s">
        <v>319</v>
      </c>
      <c r="E293" t="s">
        <v>426</v>
      </c>
      <c r="F293" t="s">
        <v>427</v>
      </c>
      <c r="G293" t="s">
        <v>427</v>
      </c>
      <c r="I293" t="s">
        <v>319</v>
      </c>
      <c r="L293" s="5" t="s">
        <v>319</v>
      </c>
      <c r="M293" s="1" t="s">
        <v>1</v>
      </c>
      <c r="N293" s="1"/>
      <c r="O293" s="1"/>
      <c r="P293" s="1"/>
      <c r="Q293" s="1"/>
      <c r="R293" s="1"/>
      <c r="S293" s="2">
        <f>T293/0.5</f>
        <v>0.32662673629219802</v>
      </c>
      <c r="T293" s="2">
        <v>0.16331336814609901</v>
      </c>
      <c r="U293" s="1"/>
      <c r="V293" s="1"/>
      <c r="W293" s="1"/>
      <c r="X293" s="1"/>
      <c r="Y293" s="1"/>
      <c r="Z293" s="1">
        <f>AA293/0.5</f>
        <v>4</v>
      </c>
      <c r="AA293" s="1">
        <v>2</v>
      </c>
    </row>
    <row r="294" spans="1:27" x14ac:dyDescent="0.3">
      <c r="K294" s="1" t="s">
        <v>42</v>
      </c>
      <c r="L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3">
      <c r="A295" t="s">
        <v>42</v>
      </c>
      <c r="B295" t="s">
        <v>424</v>
      </c>
      <c r="C295" t="s">
        <v>425</v>
      </c>
      <c r="D295" t="s">
        <v>320</v>
      </c>
      <c r="E295" t="s">
        <v>427</v>
      </c>
      <c r="F295" t="s">
        <v>427</v>
      </c>
      <c r="G295" t="s">
        <v>427</v>
      </c>
      <c r="I295" t="s">
        <v>320</v>
      </c>
      <c r="L295" s="5" t="s">
        <v>320</v>
      </c>
      <c r="M295" s="1" t="s">
        <v>1</v>
      </c>
      <c r="N295" s="1"/>
      <c r="O295" s="2">
        <v>0.73072732692316</v>
      </c>
      <c r="P295" s="1"/>
      <c r="Q295" s="1"/>
      <c r="R295" s="1"/>
      <c r="S295" s="1"/>
      <c r="T295" s="1"/>
      <c r="U295" s="1"/>
      <c r="V295" s="1">
        <v>2</v>
      </c>
      <c r="W295" s="1"/>
      <c r="X295" s="1"/>
      <c r="Y295" s="1"/>
      <c r="Z295" s="1"/>
      <c r="AA295" s="1"/>
    </row>
    <row r="296" spans="1:27" x14ac:dyDescent="0.3">
      <c r="K296" s="1" t="s">
        <v>43</v>
      </c>
      <c r="L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3">
      <c r="A297" t="s">
        <v>43</v>
      </c>
      <c r="B297" t="s">
        <v>424</v>
      </c>
      <c r="C297" t="s">
        <v>425</v>
      </c>
      <c r="D297" t="s">
        <v>321</v>
      </c>
      <c r="E297" t="s">
        <v>426</v>
      </c>
      <c r="F297" t="s">
        <v>427</v>
      </c>
      <c r="G297" t="s">
        <v>427</v>
      </c>
      <c r="I297" t="s">
        <v>321</v>
      </c>
      <c r="L297" s="5" t="s">
        <v>321</v>
      </c>
      <c r="M297" s="1" t="s">
        <v>1</v>
      </c>
      <c r="N297" s="1"/>
      <c r="O297" s="2">
        <v>0.12795198245672701</v>
      </c>
      <c r="P297" s="1"/>
      <c r="Q297" s="1"/>
      <c r="R297" s="1"/>
      <c r="S297" s="1"/>
      <c r="T297" s="1"/>
      <c r="U297" s="1"/>
      <c r="V297" s="1">
        <v>2</v>
      </c>
      <c r="W297" s="1"/>
      <c r="X297" s="1"/>
      <c r="Y297" s="1"/>
      <c r="Z297" s="1"/>
      <c r="AA297" s="1"/>
    </row>
    <row r="298" spans="1:27" x14ac:dyDescent="0.3">
      <c r="K298" s="1" t="s">
        <v>44</v>
      </c>
      <c r="L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3">
      <c r="A299" t="s">
        <v>44</v>
      </c>
      <c r="B299" t="s">
        <v>424</v>
      </c>
      <c r="C299" t="s">
        <v>425</v>
      </c>
      <c r="D299" t="s">
        <v>322</v>
      </c>
      <c r="E299" t="s">
        <v>427</v>
      </c>
      <c r="F299" t="s">
        <v>427</v>
      </c>
      <c r="G299" t="s">
        <v>427</v>
      </c>
      <c r="I299" t="s">
        <v>322</v>
      </c>
      <c r="L299" s="5" t="s">
        <v>322</v>
      </c>
      <c r="M299" s="1" t="s">
        <v>1</v>
      </c>
      <c r="N299" s="1"/>
      <c r="O299" s="1"/>
      <c r="P299" s="2">
        <v>0.100415283346943</v>
      </c>
      <c r="Q299" s="1"/>
      <c r="R299" s="1"/>
      <c r="S299" s="1"/>
      <c r="T299" s="1"/>
      <c r="U299" s="1"/>
      <c r="V299" s="1"/>
      <c r="W299" s="1">
        <v>2</v>
      </c>
      <c r="X299" s="1"/>
      <c r="Y299" s="1"/>
      <c r="Z299" s="1"/>
      <c r="AA299" s="1"/>
    </row>
    <row r="300" spans="1:27" x14ac:dyDescent="0.3">
      <c r="A300" t="s">
        <v>44</v>
      </c>
      <c r="B300" t="s">
        <v>424</v>
      </c>
      <c r="C300" t="s">
        <v>425</v>
      </c>
      <c r="D300" t="s">
        <v>323</v>
      </c>
      <c r="E300" t="s">
        <v>426</v>
      </c>
      <c r="F300" t="s">
        <v>427</v>
      </c>
      <c r="G300" t="s">
        <v>427</v>
      </c>
      <c r="I300" t="s">
        <v>323</v>
      </c>
      <c r="L300" s="5" t="s">
        <v>323</v>
      </c>
      <c r="M300" s="1" t="s">
        <v>1</v>
      </c>
      <c r="N300" s="1"/>
      <c r="O300" s="1"/>
      <c r="P300" s="2">
        <v>0.61903122277158096</v>
      </c>
      <c r="Q300" s="1"/>
      <c r="R300" s="2">
        <v>0.10389748734302</v>
      </c>
      <c r="S300" s="2"/>
      <c r="T300" s="1"/>
      <c r="U300" s="1"/>
      <c r="V300" s="1"/>
      <c r="W300" s="1">
        <v>22</v>
      </c>
      <c r="X300" s="1"/>
      <c r="Y300" s="1">
        <v>2</v>
      </c>
      <c r="Z300" s="1"/>
      <c r="AA300" s="1"/>
    </row>
    <row r="301" spans="1:27" x14ac:dyDescent="0.3">
      <c r="A301" t="s">
        <v>44</v>
      </c>
      <c r="B301" t="s">
        <v>424</v>
      </c>
      <c r="C301" t="s">
        <v>425</v>
      </c>
      <c r="D301" t="s">
        <v>324</v>
      </c>
      <c r="E301" t="s">
        <v>426</v>
      </c>
      <c r="F301" t="s">
        <v>427</v>
      </c>
      <c r="G301" t="s">
        <v>427</v>
      </c>
      <c r="I301" t="s">
        <v>324</v>
      </c>
      <c r="L301" s="5" t="s">
        <v>324</v>
      </c>
      <c r="M301" s="1" t="s">
        <v>1</v>
      </c>
      <c r="N301" s="2">
        <v>6.9622905964778397E-3</v>
      </c>
      <c r="O301" s="1"/>
      <c r="P301" s="1"/>
      <c r="Q301" s="1"/>
      <c r="R301" s="1"/>
      <c r="S301" s="1"/>
      <c r="T301" s="1"/>
      <c r="U301" s="1">
        <v>1</v>
      </c>
      <c r="V301" s="1"/>
      <c r="W301" s="1"/>
      <c r="X301" s="1"/>
      <c r="Y301" s="1"/>
      <c r="Z301" s="1"/>
      <c r="AA301" s="1"/>
    </row>
    <row r="302" spans="1:27" x14ac:dyDescent="0.3">
      <c r="A302" t="s">
        <v>427</v>
      </c>
      <c r="B302" t="s">
        <v>427</v>
      </c>
      <c r="C302" t="s">
        <v>427</v>
      </c>
      <c r="D302" t="s">
        <v>427</v>
      </c>
      <c r="E302" t="s">
        <v>427</v>
      </c>
      <c r="F302" t="s">
        <v>427</v>
      </c>
      <c r="G302" t="s">
        <v>427</v>
      </c>
      <c r="H302" t="s">
        <v>437</v>
      </c>
      <c r="I302" t="s">
        <v>325</v>
      </c>
      <c r="L302" s="5" t="s">
        <v>325</v>
      </c>
      <c r="M302" s="1" t="s">
        <v>1</v>
      </c>
      <c r="N302" s="1"/>
      <c r="O302" s="1"/>
      <c r="P302" s="2">
        <v>0.10572621662248</v>
      </c>
      <c r="Q302" s="1"/>
      <c r="R302" s="1"/>
      <c r="S302" s="1"/>
      <c r="T302" s="1"/>
      <c r="U302" s="1"/>
      <c r="V302" s="1"/>
      <c r="W302" s="1">
        <v>4</v>
      </c>
      <c r="X302" s="1"/>
      <c r="Y302" s="1"/>
      <c r="Z302" s="1"/>
      <c r="AA302" s="1"/>
    </row>
    <row r="303" spans="1:27" x14ac:dyDescent="0.3">
      <c r="A303" t="s">
        <v>44</v>
      </c>
      <c r="B303" t="s">
        <v>441</v>
      </c>
      <c r="C303" t="s">
        <v>425</v>
      </c>
      <c r="D303" t="s">
        <v>326</v>
      </c>
      <c r="E303" t="s">
        <v>427</v>
      </c>
      <c r="F303" t="s">
        <v>427</v>
      </c>
      <c r="G303" t="s">
        <v>427</v>
      </c>
      <c r="I303" t="s">
        <v>326</v>
      </c>
      <c r="L303" s="5" t="s">
        <v>326</v>
      </c>
      <c r="M303" s="1" t="s">
        <v>1</v>
      </c>
      <c r="N303" s="2">
        <v>8.9366735403572595E-2</v>
      </c>
      <c r="O303" s="1"/>
      <c r="P303" s="1"/>
      <c r="Q303" s="1"/>
      <c r="R303" s="1"/>
      <c r="S303" s="1"/>
      <c r="T303" s="1"/>
      <c r="U303" s="1">
        <v>1</v>
      </c>
      <c r="V303" s="1"/>
      <c r="W303" s="1"/>
      <c r="X303" s="1"/>
      <c r="Y303" s="1"/>
      <c r="Z303" s="1"/>
      <c r="AA303" s="1"/>
    </row>
    <row r="304" spans="1:27" x14ac:dyDescent="0.3">
      <c r="K304" s="1" t="s">
        <v>45</v>
      </c>
      <c r="L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3">
      <c r="A305" t="s">
        <v>45</v>
      </c>
      <c r="B305" t="s">
        <v>424</v>
      </c>
      <c r="C305" t="s">
        <v>425</v>
      </c>
      <c r="D305" t="s">
        <v>327</v>
      </c>
      <c r="E305" t="s">
        <v>426</v>
      </c>
      <c r="F305" t="s">
        <v>427</v>
      </c>
      <c r="G305" t="s">
        <v>427</v>
      </c>
      <c r="I305" t="s">
        <v>327</v>
      </c>
      <c r="L305" s="5" t="s">
        <v>327</v>
      </c>
      <c r="M305" s="1" t="s">
        <v>5</v>
      </c>
      <c r="N305" s="1"/>
      <c r="O305" s="1"/>
      <c r="P305" s="2">
        <v>92.940448183523202</v>
      </c>
      <c r="Q305" s="2">
        <v>33.499852025743401</v>
      </c>
      <c r="R305" s="2">
        <v>6.64489299441514</v>
      </c>
      <c r="S305" s="2">
        <f>T305/0.5</f>
        <v>118.4802463963524</v>
      </c>
      <c r="T305" s="2">
        <v>59.2401231981762</v>
      </c>
      <c r="U305" s="1"/>
      <c r="V305" s="1"/>
      <c r="W305" s="1">
        <v>53</v>
      </c>
      <c r="X305" s="1">
        <v>59</v>
      </c>
      <c r="Y305" s="1">
        <v>34</v>
      </c>
      <c r="Z305" s="1">
        <f>AA305/0.5</f>
        <v>478</v>
      </c>
      <c r="AA305" s="1">
        <v>239</v>
      </c>
    </row>
    <row r="306" spans="1:27" x14ac:dyDescent="0.3">
      <c r="K306" s="1" t="s">
        <v>46</v>
      </c>
      <c r="L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3">
      <c r="A307" t="s">
        <v>46</v>
      </c>
      <c r="B307" t="s">
        <v>424</v>
      </c>
      <c r="C307" t="s">
        <v>425</v>
      </c>
      <c r="D307" t="s">
        <v>328</v>
      </c>
      <c r="E307" t="s">
        <v>427</v>
      </c>
      <c r="F307" t="s">
        <v>427</v>
      </c>
      <c r="G307" t="s">
        <v>427</v>
      </c>
      <c r="I307" t="s">
        <v>328</v>
      </c>
      <c r="L307" s="5" t="s">
        <v>328</v>
      </c>
      <c r="M307" s="1" t="s">
        <v>1</v>
      </c>
      <c r="N307" s="2">
        <v>1.74357654143804</v>
      </c>
      <c r="O307" s="1"/>
      <c r="P307" s="1"/>
      <c r="Q307" s="1"/>
      <c r="R307" s="1"/>
      <c r="S307" s="1"/>
      <c r="T307" s="1"/>
      <c r="U307" s="1">
        <v>16</v>
      </c>
      <c r="V307" s="1"/>
      <c r="W307" s="1"/>
      <c r="X307" s="1"/>
      <c r="Y307" s="1"/>
      <c r="Z307" s="1"/>
      <c r="AA307" s="1"/>
    </row>
    <row r="308" spans="1:27" x14ac:dyDescent="0.3">
      <c r="K308" s="1" t="s">
        <v>47</v>
      </c>
      <c r="L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3">
      <c r="A309" t="s">
        <v>47</v>
      </c>
      <c r="B309" t="s">
        <v>424</v>
      </c>
      <c r="C309" t="s">
        <v>425</v>
      </c>
      <c r="D309" t="s">
        <v>329</v>
      </c>
      <c r="E309" t="s">
        <v>427</v>
      </c>
      <c r="F309" t="s">
        <v>427</v>
      </c>
      <c r="G309" t="s">
        <v>427</v>
      </c>
      <c r="I309" t="s">
        <v>329</v>
      </c>
      <c r="L309" s="5" t="s">
        <v>329</v>
      </c>
      <c r="M309" s="1" t="s">
        <v>1</v>
      </c>
      <c r="N309" s="1"/>
      <c r="O309" s="1"/>
      <c r="P309" s="2">
        <v>1.3785073544855999</v>
      </c>
      <c r="Q309" s="1"/>
      <c r="R309" s="1"/>
      <c r="S309" s="2">
        <f t="shared" ref="S309:S312" si="2">T309/0.5</f>
        <v>0.70472064352983999</v>
      </c>
      <c r="T309" s="2">
        <v>0.35236032176491999</v>
      </c>
      <c r="U309" s="1"/>
      <c r="V309" s="1"/>
      <c r="W309" s="1">
        <v>6</v>
      </c>
      <c r="X309" s="1"/>
      <c r="Y309" s="1"/>
      <c r="Z309" s="1">
        <f t="shared" ref="Z309:Z312" si="3">AA309/0.5</f>
        <v>12</v>
      </c>
      <c r="AA309" s="1">
        <v>6</v>
      </c>
    </row>
    <row r="310" spans="1:27" x14ac:dyDescent="0.3">
      <c r="A310" t="s">
        <v>47</v>
      </c>
      <c r="B310" t="s">
        <v>424</v>
      </c>
      <c r="C310" t="s">
        <v>425</v>
      </c>
      <c r="D310" t="s">
        <v>330</v>
      </c>
      <c r="E310" t="s">
        <v>427</v>
      </c>
      <c r="F310" t="s">
        <v>427</v>
      </c>
      <c r="G310" t="s">
        <v>427</v>
      </c>
      <c r="I310" t="s">
        <v>330</v>
      </c>
      <c r="L310" s="5" t="s">
        <v>330</v>
      </c>
      <c r="M310" s="1" t="s">
        <v>1</v>
      </c>
      <c r="N310" s="1"/>
      <c r="O310" s="1"/>
      <c r="P310" s="1"/>
      <c r="Q310" s="1"/>
      <c r="R310" s="1"/>
      <c r="S310" s="2">
        <f t="shared" si="2"/>
        <v>1.514986191450576</v>
      </c>
      <c r="T310" s="2">
        <v>0.757493095725288</v>
      </c>
      <c r="U310" s="1"/>
      <c r="V310" s="1"/>
      <c r="W310" s="1"/>
      <c r="X310" s="1"/>
      <c r="Y310" s="1"/>
      <c r="Z310" s="1">
        <f t="shared" si="3"/>
        <v>14</v>
      </c>
      <c r="AA310" s="1">
        <v>7</v>
      </c>
    </row>
    <row r="311" spans="1:27" x14ac:dyDescent="0.3">
      <c r="A311" t="s">
        <v>47</v>
      </c>
      <c r="B311" t="s">
        <v>424</v>
      </c>
      <c r="C311" t="s">
        <v>425</v>
      </c>
      <c r="D311" t="s">
        <v>331</v>
      </c>
      <c r="E311" t="s">
        <v>427</v>
      </c>
      <c r="F311" t="s">
        <v>427</v>
      </c>
      <c r="G311" t="s">
        <v>427</v>
      </c>
      <c r="I311" t="s">
        <v>331</v>
      </c>
      <c r="L311" s="5" t="s">
        <v>331</v>
      </c>
      <c r="M311" s="1" t="s">
        <v>1</v>
      </c>
      <c r="N311" s="1"/>
      <c r="O311" s="1"/>
      <c r="P311" s="1"/>
      <c r="Q311" s="1"/>
      <c r="R311" s="1"/>
      <c r="S311" s="2">
        <f t="shared" si="2"/>
        <v>1.0700789040046821</v>
      </c>
      <c r="T311" s="2">
        <v>0.53503945200234104</v>
      </c>
      <c r="U311" s="1"/>
      <c r="V311" s="1"/>
      <c r="W311" s="1"/>
      <c r="X311" s="1"/>
      <c r="Y311" s="1"/>
      <c r="Z311" s="1">
        <f t="shared" si="3"/>
        <v>10</v>
      </c>
      <c r="AA311" s="1">
        <v>5</v>
      </c>
    </row>
    <row r="312" spans="1:27" x14ac:dyDescent="0.3">
      <c r="A312" t="s">
        <v>47</v>
      </c>
      <c r="B312" t="s">
        <v>424</v>
      </c>
      <c r="C312" t="s">
        <v>425</v>
      </c>
      <c r="D312" t="s">
        <v>332</v>
      </c>
      <c r="E312" t="s">
        <v>427</v>
      </c>
      <c r="F312" t="s">
        <v>427</v>
      </c>
      <c r="G312" t="s">
        <v>427</v>
      </c>
      <c r="I312" t="s">
        <v>332</v>
      </c>
      <c r="L312" s="5" t="s">
        <v>332</v>
      </c>
      <c r="M312" s="1" t="s">
        <v>1</v>
      </c>
      <c r="N312" s="1"/>
      <c r="O312" s="2">
        <v>9.8237699068329E-3</v>
      </c>
      <c r="P312" s="2">
        <v>16.676271874165199</v>
      </c>
      <c r="Q312" s="2">
        <v>6.3115579849861101</v>
      </c>
      <c r="R312" s="2">
        <v>1.8978007416225899</v>
      </c>
      <c r="S312" s="2">
        <f t="shared" si="2"/>
        <v>11.969082731662921</v>
      </c>
      <c r="T312" s="2">
        <v>5.9845413658314603</v>
      </c>
      <c r="U312" s="1"/>
      <c r="V312" s="1">
        <v>1</v>
      </c>
      <c r="W312" s="1">
        <v>106</v>
      </c>
      <c r="X312" s="1">
        <v>80</v>
      </c>
      <c r="Y312" s="1">
        <v>44</v>
      </c>
      <c r="Z312" s="1">
        <f t="shared" si="3"/>
        <v>210</v>
      </c>
      <c r="AA312" s="1">
        <v>105</v>
      </c>
    </row>
    <row r="313" spans="1:27" x14ac:dyDescent="0.3">
      <c r="A313" t="s">
        <v>47</v>
      </c>
      <c r="B313" t="s">
        <v>424</v>
      </c>
      <c r="C313" t="s">
        <v>425</v>
      </c>
      <c r="D313" t="s">
        <v>481</v>
      </c>
      <c r="E313" t="s">
        <v>427</v>
      </c>
      <c r="F313" t="s">
        <v>427</v>
      </c>
      <c r="G313" t="s">
        <v>427</v>
      </c>
      <c r="H313" t="s">
        <v>432</v>
      </c>
      <c r="I313" t="s">
        <v>333</v>
      </c>
      <c r="L313" s="5" t="s">
        <v>333</v>
      </c>
      <c r="M313" s="1" t="s">
        <v>1</v>
      </c>
      <c r="N313" s="1"/>
      <c r="O313" s="2">
        <v>0.198229062815347</v>
      </c>
      <c r="P313" s="1"/>
      <c r="Q313" s="1"/>
      <c r="R313" s="1"/>
      <c r="S313" s="1"/>
      <c r="T313" s="1"/>
      <c r="U313" s="1"/>
      <c r="V313" s="1">
        <v>7</v>
      </c>
      <c r="W313" s="1"/>
      <c r="X313" s="1"/>
      <c r="Y313" s="1"/>
      <c r="Z313" s="1"/>
      <c r="AA313" s="1"/>
    </row>
    <row r="314" spans="1:27" x14ac:dyDescent="0.3">
      <c r="A314" t="s">
        <v>47</v>
      </c>
      <c r="B314" t="s">
        <v>424</v>
      </c>
      <c r="C314" t="s">
        <v>425</v>
      </c>
      <c r="D314" t="s">
        <v>332</v>
      </c>
      <c r="E314" t="s">
        <v>427</v>
      </c>
      <c r="F314" t="s">
        <v>427</v>
      </c>
      <c r="G314" t="s">
        <v>427</v>
      </c>
      <c r="H314" t="s">
        <v>432</v>
      </c>
      <c r="I314" t="s">
        <v>334</v>
      </c>
      <c r="L314" s="5" t="s">
        <v>334</v>
      </c>
      <c r="M314" s="1" t="s">
        <v>1</v>
      </c>
      <c r="N314" s="2">
        <v>0.163400714356676</v>
      </c>
      <c r="O314" s="2">
        <v>0.18092662683896499</v>
      </c>
      <c r="P314" s="1"/>
      <c r="Q314" s="1"/>
      <c r="R314" s="1"/>
      <c r="S314" s="1"/>
      <c r="T314" s="1"/>
      <c r="U314" s="1">
        <v>11</v>
      </c>
      <c r="V314" s="1">
        <v>3</v>
      </c>
      <c r="W314" s="1"/>
      <c r="X314" s="1"/>
      <c r="Y314" s="1"/>
      <c r="Z314" s="1"/>
      <c r="AA314" s="1"/>
    </row>
    <row r="315" spans="1:27" x14ac:dyDescent="0.3">
      <c r="K315" s="1" t="s">
        <v>48</v>
      </c>
      <c r="L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3">
      <c r="A316" t="s">
        <v>48</v>
      </c>
      <c r="B316" t="s">
        <v>482</v>
      </c>
      <c r="C316" t="s">
        <v>425</v>
      </c>
      <c r="D316" t="s">
        <v>483</v>
      </c>
      <c r="E316" t="s">
        <v>427</v>
      </c>
      <c r="F316" t="s">
        <v>427</v>
      </c>
      <c r="G316" t="s">
        <v>427</v>
      </c>
      <c r="H316" t="s">
        <v>432</v>
      </c>
      <c r="I316" t="s">
        <v>335</v>
      </c>
      <c r="L316" s="5" t="s">
        <v>335</v>
      </c>
      <c r="M316" s="1" t="s">
        <v>1</v>
      </c>
      <c r="N316" s="2">
        <v>1.21471011773847</v>
      </c>
      <c r="O316" s="1"/>
      <c r="P316" s="1"/>
      <c r="Q316" s="1"/>
      <c r="R316" s="1"/>
      <c r="S316" s="1"/>
      <c r="T316" s="1"/>
      <c r="U316" s="1">
        <v>9</v>
      </c>
      <c r="V316" s="1"/>
      <c r="W316" s="1"/>
      <c r="X316" s="1"/>
      <c r="Y316" s="1"/>
      <c r="Z316" s="1"/>
      <c r="AA316" s="1"/>
    </row>
    <row r="317" spans="1:27" x14ac:dyDescent="0.3">
      <c r="A317" t="s">
        <v>48</v>
      </c>
      <c r="B317" t="s">
        <v>424</v>
      </c>
      <c r="C317" t="s">
        <v>425</v>
      </c>
      <c r="D317" t="s">
        <v>336</v>
      </c>
      <c r="E317" t="s">
        <v>427</v>
      </c>
      <c r="F317" t="s">
        <v>427</v>
      </c>
      <c r="G317" t="s">
        <v>427</v>
      </c>
      <c r="I317" t="s">
        <v>336</v>
      </c>
      <c r="L317" s="5" t="s">
        <v>336</v>
      </c>
      <c r="M317" s="1" t="s">
        <v>1</v>
      </c>
      <c r="N317" s="1"/>
      <c r="O317" s="1"/>
      <c r="P317" s="2">
        <v>1.1790797704230801E-2</v>
      </c>
      <c r="Q317" s="2">
        <v>7.4900801962550102E-3</v>
      </c>
      <c r="R317" s="2">
        <v>2.5314705012398</v>
      </c>
      <c r="S317" s="2"/>
      <c r="T317" s="1"/>
      <c r="U317" s="1"/>
      <c r="V317" s="1"/>
      <c r="W317" s="1">
        <v>1</v>
      </c>
      <c r="X317" s="1">
        <v>1</v>
      </c>
      <c r="Y317" s="1">
        <v>60</v>
      </c>
      <c r="Z317" s="1"/>
      <c r="AA317" s="1"/>
    </row>
    <row r="318" spans="1:27" x14ac:dyDescent="0.3">
      <c r="K318" s="1" t="s">
        <v>49</v>
      </c>
      <c r="L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3">
      <c r="A319" t="s">
        <v>49</v>
      </c>
      <c r="B319" t="s">
        <v>424</v>
      </c>
      <c r="C319" t="s">
        <v>425</v>
      </c>
      <c r="D319" t="s">
        <v>337</v>
      </c>
      <c r="E319" t="s">
        <v>426</v>
      </c>
      <c r="F319" t="s">
        <v>427</v>
      </c>
      <c r="G319" t="s">
        <v>427</v>
      </c>
      <c r="I319" t="s">
        <v>337</v>
      </c>
      <c r="L319" s="5" t="s">
        <v>337</v>
      </c>
      <c r="M319" s="1" t="s">
        <v>1</v>
      </c>
      <c r="N319" s="1"/>
      <c r="O319" s="2">
        <v>0.198663004306808</v>
      </c>
      <c r="P319" s="1"/>
      <c r="Q319" s="1"/>
      <c r="R319" s="1"/>
      <c r="S319" s="1"/>
      <c r="T319" s="1"/>
      <c r="U319" s="1"/>
      <c r="V319" s="1">
        <v>2</v>
      </c>
      <c r="W319" s="1"/>
      <c r="X319" s="1"/>
      <c r="Y319" s="1"/>
      <c r="Z319" s="1"/>
      <c r="AA319" s="1"/>
    </row>
    <row r="320" spans="1:27" x14ac:dyDescent="0.3">
      <c r="A320" t="s">
        <v>49</v>
      </c>
      <c r="B320" t="s">
        <v>424</v>
      </c>
      <c r="C320" t="s">
        <v>425</v>
      </c>
      <c r="D320" t="s">
        <v>338</v>
      </c>
      <c r="E320" t="s">
        <v>427</v>
      </c>
      <c r="F320" t="s">
        <v>427</v>
      </c>
      <c r="G320" t="s">
        <v>427</v>
      </c>
      <c r="I320" t="s">
        <v>338</v>
      </c>
      <c r="L320" s="5" t="s">
        <v>338</v>
      </c>
      <c r="M320" s="1" t="s">
        <v>1</v>
      </c>
      <c r="N320" s="1"/>
      <c r="O320" s="2">
        <v>0.16337394486201501</v>
      </c>
      <c r="P320" s="1"/>
      <c r="Q320" s="1"/>
      <c r="R320" s="1"/>
      <c r="S320" s="1"/>
      <c r="T320" s="1"/>
      <c r="U320" s="1"/>
      <c r="V320" s="1">
        <v>7</v>
      </c>
      <c r="W320" s="1"/>
      <c r="X320" s="1"/>
      <c r="Y320" s="1"/>
      <c r="Z320" s="1"/>
      <c r="AA320" s="1"/>
    </row>
    <row r="321" spans="1:27" x14ac:dyDescent="0.3">
      <c r="A321" t="s">
        <v>49</v>
      </c>
      <c r="B321" t="s">
        <v>424</v>
      </c>
      <c r="C321" t="s">
        <v>484</v>
      </c>
      <c r="D321" t="s">
        <v>339</v>
      </c>
      <c r="E321" t="s">
        <v>427</v>
      </c>
      <c r="F321" t="s">
        <v>427</v>
      </c>
      <c r="G321" t="s">
        <v>427</v>
      </c>
      <c r="H321" t="s">
        <v>485</v>
      </c>
      <c r="I321" t="s">
        <v>339</v>
      </c>
      <c r="L321" s="5" t="s">
        <v>339</v>
      </c>
      <c r="M321" s="1" t="s">
        <v>5</v>
      </c>
      <c r="N321" s="1"/>
      <c r="O321" s="1"/>
      <c r="P321" s="2">
        <v>0.16949502465678601</v>
      </c>
      <c r="Q321" s="2">
        <v>0.710173314212871</v>
      </c>
      <c r="R321" s="2">
        <v>3.1060413648690902E-2</v>
      </c>
      <c r="S321" s="2">
        <f>T321/0.5</f>
        <v>9.7528449323020197E-2</v>
      </c>
      <c r="T321" s="2">
        <v>4.8764224661510099E-2</v>
      </c>
      <c r="U321" s="1"/>
      <c r="V321" s="1"/>
      <c r="W321" s="1">
        <v>6</v>
      </c>
      <c r="X321" s="1">
        <v>10</v>
      </c>
      <c r="Y321" s="1">
        <v>3</v>
      </c>
      <c r="Z321" s="1">
        <f>AA321/0.5</f>
        <v>10</v>
      </c>
      <c r="AA321" s="1">
        <v>5</v>
      </c>
    </row>
    <row r="322" spans="1:27" x14ac:dyDescent="0.3">
      <c r="K322" s="1" t="s">
        <v>50</v>
      </c>
      <c r="L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3">
      <c r="A323" t="s">
        <v>50</v>
      </c>
      <c r="B323" t="s">
        <v>424</v>
      </c>
      <c r="C323" t="s">
        <v>425</v>
      </c>
      <c r="D323" t="s">
        <v>340</v>
      </c>
      <c r="E323" t="s">
        <v>427</v>
      </c>
      <c r="F323" t="s">
        <v>427</v>
      </c>
      <c r="G323" t="s">
        <v>427</v>
      </c>
      <c r="I323" t="s">
        <v>340</v>
      </c>
      <c r="L323" s="5" t="s">
        <v>340</v>
      </c>
      <c r="M323" s="1" t="s">
        <v>5</v>
      </c>
      <c r="N323" s="2">
        <v>9.4658114493008902</v>
      </c>
      <c r="O323" s="2">
        <v>0.42450781901885198</v>
      </c>
      <c r="P323" s="2">
        <v>12.6598488682771</v>
      </c>
      <c r="Q323" s="2">
        <v>5.3540974156082903</v>
      </c>
      <c r="R323" s="2">
        <v>1.5285961107143</v>
      </c>
      <c r="S323" s="2">
        <f>T323/0.5</f>
        <v>0.96716912312432801</v>
      </c>
      <c r="T323" s="2">
        <v>0.48358456156216401</v>
      </c>
      <c r="U323" s="1">
        <v>40</v>
      </c>
      <c r="V323" s="1">
        <v>10</v>
      </c>
      <c r="W323" s="1">
        <v>94</v>
      </c>
      <c r="X323" s="1">
        <v>74</v>
      </c>
      <c r="Y323" s="1">
        <v>23</v>
      </c>
      <c r="Z323" s="1">
        <f>AA323/0.5</f>
        <v>16</v>
      </c>
      <c r="AA323" s="1">
        <v>8</v>
      </c>
    </row>
    <row r="324" spans="1:27" x14ac:dyDescent="0.3">
      <c r="K324" s="1" t="s">
        <v>51</v>
      </c>
      <c r="L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3">
      <c r="A325" t="s">
        <v>51</v>
      </c>
      <c r="B325" t="s">
        <v>424</v>
      </c>
      <c r="C325" t="s">
        <v>425</v>
      </c>
      <c r="D325" t="s">
        <v>486</v>
      </c>
      <c r="E325" t="s">
        <v>427</v>
      </c>
      <c r="F325" t="s">
        <v>427</v>
      </c>
      <c r="G325" t="s">
        <v>427</v>
      </c>
      <c r="H325" t="s">
        <v>432</v>
      </c>
      <c r="I325" t="s">
        <v>341</v>
      </c>
      <c r="L325" s="5" t="s">
        <v>341</v>
      </c>
      <c r="M325" s="1" t="s">
        <v>1</v>
      </c>
      <c r="N325" s="1"/>
      <c r="O325" s="2">
        <v>0.16933020585515601</v>
      </c>
      <c r="P325" s="1"/>
      <c r="Q325" s="1"/>
      <c r="R325" s="1"/>
      <c r="S325" s="1"/>
      <c r="T325" s="1"/>
      <c r="U325" s="1"/>
      <c r="V325" s="1">
        <v>7</v>
      </c>
      <c r="W325" s="1"/>
      <c r="X325" s="1"/>
      <c r="Y325" s="1"/>
      <c r="Z325" s="1"/>
      <c r="AA325" s="1"/>
    </row>
    <row r="326" spans="1:27" x14ac:dyDescent="0.3">
      <c r="A326" t="s">
        <v>51</v>
      </c>
      <c r="B326" t="s">
        <v>424</v>
      </c>
      <c r="C326" t="s">
        <v>425</v>
      </c>
      <c r="D326" t="s">
        <v>487</v>
      </c>
      <c r="E326" t="s">
        <v>427</v>
      </c>
      <c r="F326" t="s">
        <v>427</v>
      </c>
      <c r="G326" t="s">
        <v>427</v>
      </c>
      <c r="H326" t="s">
        <v>432</v>
      </c>
      <c r="I326" t="s">
        <v>342</v>
      </c>
      <c r="L326" s="5" t="s">
        <v>342</v>
      </c>
      <c r="M326" s="1" t="s">
        <v>1</v>
      </c>
      <c r="N326" s="2">
        <v>9.9471674859145598E-2</v>
      </c>
      <c r="O326" s="2">
        <v>3.1031845143081899E-2</v>
      </c>
      <c r="P326" s="1"/>
      <c r="Q326" s="1"/>
      <c r="R326" s="1"/>
      <c r="S326" s="1"/>
      <c r="T326" s="1"/>
      <c r="U326" s="1">
        <v>9</v>
      </c>
      <c r="V326" s="1">
        <v>3</v>
      </c>
      <c r="W326" s="1"/>
      <c r="X326" s="1"/>
      <c r="Y326" s="1"/>
      <c r="Z326" s="1"/>
      <c r="AA326" s="1"/>
    </row>
    <row r="327" spans="1:27" x14ac:dyDescent="0.3">
      <c r="A327" t="s">
        <v>51</v>
      </c>
      <c r="B327" t="s">
        <v>424</v>
      </c>
      <c r="C327" t="s">
        <v>425</v>
      </c>
      <c r="D327" t="s">
        <v>343</v>
      </c>
      <c r="E327" t="s">
        <v>427</v>
      </c>
      <c r="F327" t="s">
        <v>427</v>
      </c>
      <c r="G327" t="s">
        <v>427</v>
      </c>
      <c r="I327" t="s">
        <v>343</v>
      </c>
      <c r="L327" s="5" t="s">
        <v>343</v>
      </c>
      <c r="M327" s="1" t="s">
        <v>1</v>
      </c>
      <c r="N327" s="1"/>
      <c r="O327" s="2">
        <v>5.0269430308303699E-2</v>
      </c>
      <c r="P327" s="1"/>
      <c r="Q327" s="1"/>
      <c r="R327" s="1"/>
      <c r="S327" s="1"/>
      <c r="T327" s="1"/>
      <c r="U327" s="1"/>
      <c r="V327" s="1">
        <v>1</v>
      </c>
      <c r="W327" s="1"/>
      <c r="X327" s="1"/>
      <c r="Y327" s="1"/>
      <c r="Z327" s="1"/>
      <c r="AA327" s="1"/>
    </row>
    <row r="328" spans="1:27" x14ac:dyDescent="0.3">
      <c r="A328" t="s">
        <v>51</v>
      </c>
      <c r="B328" t="s">
        <v>424</v>
      </c>
      <c r="C328" t="s">
        <v>425</v>
      </c>
      <c r="D328" t="s">
        <v>344</v>
      </c>
      <c r="E328" t="s">
        <v>427</v>
      </c>
      <c r="F328" t="s">
        <v>427</v>
      </c>
      <c r="G328" t="s">
        <v>427</v>
      </c>
      <c r="I328" t="s">
        <v>344</v>
      </c>
      <c r="L328" s="5" t="s">
        <v>344</v>
      </c>
      <c r="M328" s="1" t="s">
        <v>1</v>
      </c>
      <c r="N328" s="1"/>
      <c r="O328" s="2">
        <v>7.7512503180897904E-2</v>
      </c>
      <c r="P328" s="1"/>
      <c r="Q328" s="1"/>
      <c r="R328" s="1"/>
      <c r="S328" s="1"/>
      <c r="T328" s="1"/>
      <c r="U328" s="1"/>
      <c r="V328" s="1">
        <v>3</v>
      </c>
      <c r="W328" s="1"/>
      <c r="X328" s="1"/>
      <c r="Y328" s="1"/>
      <c r="Z328" s="1"/>
      <c r="AA328" s="1"/>
    </row>
    <row r="329" spans="1:27" x14ac:dyDescent="0.3">
      <c r="A329" t="s">
        <v>51</v>
      </c>
      <c r="B329" t="s">
        <v>424</v>
      </c>
      <c r="C329" t="s">
        <v>425</v>
      </c>
      <c r="D329" t="s">
        <v>487</v>
      </c>
      <c r="E329" t="s">
        <v>427</v>
      </c>
      <c r="F329" t="s">
        <v>427</v>
      </c>
      <c r="G329" t="s">
        <v>427</v>
      </c>
      <c r="H329" t="s">
        <v>436</v>
      </c>
      <c r="I329" t="s">
        <v>345</v>
      </c>
      <c r="L329" s="5" t="s">
        <v>345</v>
      </c>
      <c r="M329" s="1" t="s">
        <v>1</v>
      </c>
      <c r="N329" s="1"/>
      <c r="O329" s="1"/>
      <c r="P329" s="1"/>
      <c r="Q329" s="2">
        <v>4.5278116178259303E-2</v>
      </c>
      <c r="R329" s="1"/>
      <c r="S329" s="1"/>
      <c r="T329" s="1"/>
      <c r="U329" s="1"/>
      <c r="V329" s="1"/>
      <c r="W329" s="1"/>
      <c r="X329" s="1">
        <v>5</v>
      </c>
      <c r="Y329" s="1"/>
      <c r="Z329" s="1"/>
      <c r="AA329" s="1"/>
    </row>
    <row r="330" spans="1:27" x14ac:dyDescent="0.3">
      <c r="A330" t="s">
        <v>51</v>
      </c>
      <c r="B330" t="s">
        <v>424</v>
      </c>
      <c r="C330" t="s">
        <v>425</v>
      </c>
      <c r="D330" t="s">
        <v>346</v>
      </c>
      <c r="E330" t="s">
        <v>427</v>
      </c>
      <c r="F330" t="s">
        <v>427</v>
      </c>
      <c r="G330" t="s">
        <v>427</v>
      </c>
      <c r="I330" t="s">
        <v>346</v>
      </c>
      <c r="L330" s="5" t="s">
        <v>346</v>
      </c>
      <c r="M330" s="1" t="s">
        <v>1</v>
      </c>
      <c r="N330" s="2">
        <v>5.9286109663900098E-2</v>
      </c>
      <c r="O330" s="1"/>
      <c r="P330" s="1"/>
      <c r="Q330" s="1"/>
      <c r="R330" s="1"/>
      <c r="S330" s="1"/>
      <c r="T330" s="1"/>
      <c r="U330" s="1">
        <v>1</v>
      </c>
      <c r="V330" s="1"/>
      <c r="W330" s="1"/>
      <c r="X330" s="1"/>
      <c r="Y330" s="1"/>
      <c r="Z330" s="1"/>
      <c r="AA330" s="1"/>
    </row>
    <row r="331" spans="1:27" x14ac:dyDescent="0.3">
      <c r="A331" t="s">
        <v>51</v>
      </c>
      <c r="B331" t="s">
        <v>424</v>
      </c>
      <c r="C331" t="s">
        <v>425</v>
      </c>
      <c r="D331" t="s">
        <v>347</v>
      </c>
      <c r="E331" t="s">
        <v>427</v>
      </c>
      <c r="F331" t="s">
        <v>427</v>
      </c>
      <c r="G331" t="s">
        <v>427</v>
      </c>
      <c r="I331" t="s">
        <v>347</v>
      </c>
      <c r="L331" s="5" t="s">
        <v>347</v>
      </c>
      <c r="M331" s="1" t="s">
        <v>1</v>
      </c>
      <c r="N331" s="1"/>
      <c r="O331" s="2">
        <v>0.37417919518403903</v>
      </c>
      <c r="P331" s="1"/>
      <c r="Q331" s="1"/>
      <c r="R331" s="1"/>
      <c r="S331" s="1"/>
      <c r="T331" s="1"/>
      <c r="U331" s="1"/>
      <c r="V331" s="1">
        <v>28</v>
      </c>
      <c r="W331" s="1"/>
      <c r="X331" s="1"/>
      <c r="Y331" s="1"/>
      <c r="Z331" s="1"/>
      <c r="AA331" s="1"/>
    </row>
    <row r="332" spans="1:27" x14ac:dyDescent="0.3">
      <c r="A332" t="s">
        <v>51</v>
      </c>
      <c r="B332" t="s">
        <v>441</v>
      </c>
      <c r="C332" t="s">
        <v>425</v>
      </c>
      <c r="D332" t="s">
        <v>348</v>
      </c>
      <c r="E332" t="s">
        <v>427</v>
      </c>
      <c r="F332" t="s">
        <v>427</v>
      </c>
      <c r="G332" t="s">
        <v>427</v>
      </c>
      <c r="I332" t="s">
        <v>348</v>
      </c>
      <c r="L332" s="5" t="s">
        <v>348</v>
      </c>
      <c r="M332" s="1" t="s">
        <v>1</v>
      </c>
      <c r="N332" s="1"/>
      <c r="O332" s="1"/>
      <c r="P332" s="1"/>
      <c r="Q332" s="1"/>
      <c r="R332" s="2">
        <v>0.85909153693729601</v>
      </c>
      <c r="S332" s="2"/>
      <c r="T332" s="1"/>
      <c r="U332" s="1"/>
      <c r="V332" s="1"/>
      <c r="W332" s="1"/>
      <c r="X332" s="1"/>
      <c r="Y332" s="1">
        <v>28</v>
      </c>
      <c r="Z332" s="1"/>
      <c r="AA332" s="1"/>
    </row>
    <row r="333" spans="1:27" x14ac:dyDescent="0.3">
      <c r="A333" t="s">
        <v>51</v>
      </c>
      <c r="B333" t="s">
        <v>424</v>
      </c>
      <c r="C333" t="s">
        <v>425</v>
      </c>
      <c r="D333" t="s">
        <v>349</v>
      </c>
      <c r="E333" t="s">
        <v>427</v>
      </c>
      <c r="F333" t="s">
        <v>427</v>
      </c>
      <c r="G333" t="s">
        <v>427</v>
      </c>
      <c r="I333" t="s">
        <v>349</v>
      </c>
      <c r="L333" s="5" t="s">
        <v>349</v>
      </c>
      <c r="M333" s="1" t="s">
        <v>1</v>
      </c>
      <c r="N333" s="1"/>
      <c r="O333" s="2">
        <v>2.7707413822563299E-2</v>
      </c>
      <c r="P333" s="1"/>
      <c r="Q333" s="1"/>
      <c r="R333" s="1"/>
      <c r="S333" s="1"/>
      <c r="T333" s="1"/>
      <c r="U333" s="1"/>
      <c r="V333" s="1">
        <v>2</v>
      </c>
      <c r="W333" s="1"/>
      <c r="X333" s="1"/>
      <c r="Y333" s="1"/>
      <c r="Z333" s="1"/>
      <c r="AA333" s="1"/>
    </row>
    <row r="334" spans="1:27" x14ac:dyDescent="0.3">
      <c r="A334" t="s">
        <v>51</v>
      </c>
      <c r="B334" t="s">
        <v>424</v>
      </c>
      <c r="C334" t="s">
        <v>425</v>
      </c>
      <c r="D334" t="s">
        <v>488</v>
      </c>
      <c r="E334" t="s">
        <v>426</v>
      </c>
      <c r="F334" t="s">
        <v>427</v>
      </c>
      <c r="G334" t="s">
        <v>427</v>
      </c>
      <c r="H334" t="s">
        <v>432</v>
      </c>
      <c r="I334" t="s">
        <v>350</v>
      </c>
      <c r="L334" s="5" t="s">
        <v>350</v>
      </c>
      <c r="M334" s="1" t="s">
        <v>1</v>
      </c>
      <c r="N334" s="2">
        <v>0.218470628317666</v>
      </c>
      <c r="O334" s="1"/>
      <c r="P334" s="1"/>
      <c r="Q334" s="1"/>
      <c r="R334" s="1"/>
      <c r="S334" s="1"/>
      <c r="T334" s="1"/>
      <c r="U334" s="1">
        <v>14</v>
      </c>
      <c r="V334" s="1"/>
      <c r="W334" s="1"/>
      <c r="X334" s="1"/>
      <c r="Y334" s="1"/>
      <c r="Z334" s="1"/>
      <c r="AA334" s="1"/>
    </row>
    <row r="335" spans="1:27" x14ac:dyDescent="0.3">
      <c r="A335" t="s">
        <v>51</v>
      </c>
      <c r="B335" t="s">
        <v>424</v>
      </c>
      <c r="C335" t="s">
        <v>425</v>
      </c>
      <c r="D335" t="s">
        <v>351</v>
      </c>
      <c r="E335" t="s">
        <v>427</v>
      </c>
      <c r="F335" t="s">
        <v>427</v>
      </c>
      <c r="G335" t="s">
        <v>427</v>
      </c>
      <c r="I335" t="s">
        <v>351</v>
      </c>
      <c r="L335" s="5" t="s">
        <v>351</v>
      </c>
      <c r="M335" s="1" t="s">
        <v>1</v>
      </c>
      <c r="N335" s="1"/>
      <c r="O335" s="2">
        <v>0.116213288283843</v>
      </c>
      <c r="P335" s="1"/>
      <c r="Q335" s="1"/>
      <c r="R335" s="1"/>
      <c r="S335" s="1"/>
      <c r="T335" s="1"/>
      <c r="U335" s="1"/>
      <c r="V335" s="1">
        <v>10</v>
      </c>
      <c r="W335" s="1"/>
      <c r="X335" s="1"/>
      <c r="Y335" s="1"/>
      <c r="Z335" s="1"/>
      <c r="AA335" s="1"/>
    </row>
    <row r="336" spans="1:27" x14ac:dyDescent="0.3">
      <c r="A336" t="s">
        <v>51</v>
      </c>
      <c r="B336" t="s">
        <v>424</v>
      </c>
      <c r="C336" t="s">
        <v>425</v>
      </c>
      <c r="D336" t="s">
        <v>488</v>
      </c>
      <c r="E336" t="s">
        <v>426</v>
      </c>
      <c r="F336" t="s">
        <v>427</v>
      </c>
      <c r="G336" t="s">
        <v>427</v>
      </c>
      <c r="H336" t="s">
        <v>432</v>
      </c>
      <c r="I336" t="s">
        <v>352</v>
      </c>
      <c r="L336" s="5" t="s">
        <v>352</v>
      </c>
      <c r="M336" s="1" t="s">
        <v>1</v>
      </c>
      <c r="N336" s="1"/>
      <c r="O336" s="1"/>
      <c r="P336" s="2">
        <v>3.7803127337997801E-3</v>
      </c>
      <c r="Q336" s="1"/>
      <c r="R336" s="2">
        <v>0.37720046558285503</v>
      </c>
      <c r="S336" s="2"/>
      <c r="T336" s="1"/>
      <c r="U336" s="1"/>
      <c r="V336" s="1"/>
      <c r="W336" s="1">
        <v>1</v>
      </c>
      <c r="X336" s="1"/>
      <c r="Y336" s="1">
        <v>65</v>
      </c>
      <c r="Z336" s="1"/>
      <c r="AA336" s="1"/>
    </row>
    <row r="337" spans="1:27" x14ac:dyDescent="0.3">
      <c r="A337" t="s">
        <v>51</v>
      </c>
      <c r="B337" t="s">
        <v>424</v>
      </c>
      <c r="C337" t="s">
        <v>425</v>
      </c>
      <c r="D337" t="s">
        <v>489</v>
      </c>
      <c r="E337" t="s">
        <v>427</v>
      </c>
      <c r="F337" t="s">
        <v>427</v>
      </c>
      <c r="G337" t="s">
        <v>427</v>
      </c>
      <c r="H337" t="s">
        <v>436</v>
      </c>
      <c r="I337" t="s">
        <v>353</v>
      </c>
      <c r="L337" s="5" t="s">
        <v>353</v>
      </c>
      <c r="M337" s="1" t="s">
        <v>1</v>
      </c>
      <c r="N337" s="1"/>
      <c r="O337" s="1"/>
      <c r="P337" s="1"/>
      <c r="Q337" s="1"/>
      <c r="R337" s="2">
        <v>2.5131483164044E-2</v>
      </c>
      <c r="S337" s="2"/>
      <c r="T337" s="1"/>
      <c r="U337" s="1"/>
      <c r="V337" s="1"/>
      <c r="W337" s="1"/>
      <c r="X337" s="1"/>
      <c r="Y337" s="1">
        <v>1</v>
      </c>
      <c r="Z337" s="1"/>
      <c r="AA337" s="1"/>
    </row>
    <row r="338" spans="1:27" x14ac:dyDescent="0.3">
      <c r="A338" t="s">
        <v>51</v>
      </c>
      <c r="B338" t="s">
        <v>424</v>
      </c>
      <c r="C338" t="s">
        <v>425</v>
      </c>
      <c r="D338" t="s">
        <v>354</v>
      </c>
      <c r="E338" t="s">
        <v>427</v>
      </c>
      <c r="F338" t="s">
        <v>427</v>
      </c>
      <c r="G338" t="s">
        <v>427</v>
      </c>
      <c r="I338" t="s">
        <v>354</v>
      </c>
      <c r="L338" s="5" t="s">
        <v>354</v>
      </c>
      <c r="M338" s="1" t="s">
        <v>1</v>
      </c>
      <c r="N338" s="1"/>
      <c r="O338" s="2">
        <v>1.2558419734508299</v>
      </c>
      <c r="P338" s="1"/>
      <c r="Q338" s="1"/>
      <c r="R338" s="2">
        <v>0.27316243375973698</v>
      </c>
      <c r="S338" s="2"/>
      <c r="T338" s="1"/>
      <c r="U338" s="1"/>
      <c r="V338" s="1">
        <v>54</v>
      </c>
      <c r="W338" s="1"/>
      <c r="X338" s="1"/>
      <c r="Y338" s="1">
        <v>23</v>
      </c>
      <c r="Z338" s="1"/>
      <c r="AA338" s="1"/>
    </row>
    <row r="339" spans="1:27" x14ac:dyDescent="0.3">
      <c r="A339" t="s">
        <v>51</v>
      </c>
      <c r="B339" t="s">
        <v>424</v>
      </c>
      <c r="C339" t="s">
        <v>425</v>
      </c>
      <c r="D339" t="s">
        <v>355</v>
      </c>
      <c r="E339" t="s">
        <v>433</v>
      </c>
      <c r="F339" t="s">
        <v>427</v>
      </c>
      <c r="G339" t="s">
        <v>427</v>
      </c>
      <c r="I339" t="s">
        <v>355</v>
      </c>
      <c r="L339" s="5" t="s">
        <v>355</v>
      </c>
      <c r="M339" s="1" t="s">
        <v>1</v>
      </c>
      <c r="N339" s="1"/>
      <c r="O339" s="1"/>
      <c r="P339" s="1"/>
      <c r="Q339" s="2">
        <v>0.26832867221281298</v>
      </c>
      <c r="R339" s="1"/>
      <c r="S339" s="1"/>
      <c r="T339" s="1"/>
      <c r="U339" s="1"/>
      <c r="V339" s="1"/>
      <c r="W339" s="1"/>
      <c r="X339" s="1">
        <v>22</v>
      </c>
      <c r="Y339" s="1"/>
      <c r="Z339" s="1"/>
      <c r="AA339" s="1"/>
    </row>
    <row r="340" spans="1:27" x14ac:dyDescent="0.3">
      <c r="K340" s="1" t="s">
        <v>52</v>
      </c>
      <c r="L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3">
      <c r="A341" t="s">
        <v>52</v>
      </c>
      <c r="B341" t="s">
        <v>424</v>
      </c>
      <c r="C341" t="s">
        <v>425</v>
      </c>
      <c r="D341" t="s">
        <v>356</v>
      </c>
      <c r="E341" t="s">
        <v>427</v>
      </c>
      <c r="F341" t="s">
        <v>427</v>
      </c>
      <c r="G341" t="s">
        <v>427</v>
      </c>
      <c r="I341" t="s">
        <v>356</v>
      </c>
      <c r="L341" s="5" t="s">
        <v>356</v>
      </c>
      <c r="M341" s="1" t="s">
        <v>1</v>
      </c>
      <c r="N341" s="1"/>
      <c r="O341" s="2">
        <v>4.7554606313806804</v>
      </c>
      <c r="P341" s="1"/>
      <c r="Q341" s="1"/>
      <c r="R341" s="1"/>
      <c r="S341" s="1"/>
      <c r="T341" s="1"/>
      <c r="U341" s="1"/>
      <c r="V341" s="1">
        <v>10</v>
      </c>
      <c r="W341" s="1"/>
      <c r="X341" s="1"/>
      <c r="Y341" s="1"/>
      <c r="Z341" s="1"/>
      <c r="AA341" s="1"/>
    </row>
    <row r="342" spans="1:27" x14ac:dyDescent="0.3">
      <c r="A342" t="s">
        <v>52</v>
      </c>
      <c r="B342" t="s">
        <v>424</v>
      </c>
      <c r="C342" t="s">
        <v>425</v>
      </c>
      <c r="D342" t="s">
        <v>357</v>
      </c>
      <c r="E342" t="s">
        <v>427</v>
      </c>
      <c r="F342" t="s">
        <v>427</v>
      </c>
      <c r="G342" t="s">
        <v>427</v>
      </c>
      <c r="I342" t="s">
        <v>357</v>
      </c>
      <c r="L342" s="5" t="s">
        <v>357</v>
      </c>
      <c r="M342" s="1" t="s">
        <v>1</v>
      </c>
      <c r="N342" s="1"/>
      <c r="O342" s="2">
        <v>0.83772781006724095</v>
      </c>
      <c r="P342" s="1"/>
      <c r="Q342" s="1"/>
      <c r="R342" s="1"/>
      <c r="S342" s="1"/>
      <c r="T342" s="1"/>
      <c r="U342" s="1"/>
      <c r="V342" s="1">
        <v>17</v>
      </c>
      <c r="W342" s="1"/>
      <c r="X342" s="1"/>
      <c r="Y342" s="1"/>
      <c r="Z342" s="1"/>
      <c r="AA342" s="1"/>
    </row>
    <row r="343" spans="1:27" x14ac:dyDescent="0.3">
      <c r="A343" t="s">
        <v>52</v>
      </c>
      <c r="B343" t="s">
        <v>424</v>
      </c>
      <c r="C343" t="s">
        <v>425</v>
      </c>
      <c r="D343" t="s">
        <v>358</v>
      </c>
      <c r="E343" t="s">
        <v>427</v>
      </c>
      <c r="F343" t="s">
        <v>427</v>
      </c>
      <c r="G343" t="s">
        <v>427</v>
      </c>
      <c r="I343" t="s">
        <v>358</v>
      </c>
      <c r="L343" s="5" t="s">
        <v>358</v>
      </c>
      <c r="M343" s="1" t="s">
        <v>1</v>
      </c>
      <c r="N343" s="1"/>
      <c r="O343" s="2">
        <v>9.21524833999776E-2</v>
      </c>
      <c r="P343" s="1"/>
      <c r="Q343" s="1"/>
      <c r="R343" s="1"/>
      <c r="S343" s="1"/>
      <c r="T343" s="1"/>
      <c r="U343" s="1"/>
      <c r="V343" s="1">
        <v>4</v>
      </c>
      <c r="W343" s="1"/>
      <c r="X343" s="1"/>
      <c r="Y343" s="1"/>
      <c r="Z343" s="1"/>
      <c r="AA343" s="1"/>
    </row>
    <row r="344" spans="1:27" x14ac:dyDescent="0.3">
      <c r="A344" t="s">
        <v>52</v>
      </c>
      <c r="B344" t="s">
        <v>424</v>
      </c>
      <c r="C344" t="s">
        <v>425</v>
      </c>
      <c r="D344" t="s">
        <v>359</v>
      </c>
      <c r="E344" t="s">
        <v>427</v>
      </c>
      <c r="F344" t="s">
        <v>427</v>
      </c>
      <c r="G344" t="s">
        <v>427</v>
      </c>
      <c r="I344" t="s">
        <v>359</v>
      </c>
      <c r="L344" s="5" t="s">
        <v>359</v>
      </c>
      <c r="M344" s="1" t="s">
        <v>1</v>
      </c>
      <c r="N344" s="1"/>
      <c r="O344" s="2">
        <v>0.85459424069280598</v>
      </c>
      <c r="P344" s="1"/>
      <c r="Q344" s="1"/>
      <c r="R344" s="1"/>
      <c r="S344" s="1"/>
      <c r="T344" s="1"/>
      <c r="U344" s="1"/>
      <c r="V344" s="1">
        <v>1</v>
      </c>
      <c r="W344" s="1"/>
      <c r="X344" s="1"/>
      <c r="Y344" s="1"/>
      <c r="Z344" s="1"/>
      <c r="AA344" s="1"/>
    </row>
    <row r="345" spans="1:27" x14ac:dyDescent="0.3">
      <c r="A345" t="s">
        <v>52</v>
      </c>
      <c r="B345" t="s">
        <v>424</v>
      </c>
      <c r="C345" t="s">
        <v>425</v>
      </c>
      <c r="D345" t="s">
        <v>360</v>
      </c>
      <c r="E345" t="s">
        <v>427</v>
      </c>
      <c r="F345" t="s">
        <v>427</v>
      </c>
      <c r="G345" t="s">
        <v>427</v>
      </c>
      <c r="I345" t="s">
        <v>360</v>
      </c>
      <c r="L345" s="5" t="s">
        <v>360</v>
      </c>
      <c r="M345" s="1" t="s">
        <v>1</v>
      </c>
      <c r="N345" s="1"/>
      <c r="O345" s="2">
        <v>1.31420913676742</v>
      </c>
      <c r="P345" s="1"/>
      <c r="Q345" s="1"/>
      <c r="R345" s="1"/>
      <c r="S345" s="1"/>
      <c r="T345" s="1"/>
      <c r="U345" s="1"/>
      <c r="V345" s="1">
        <v>6</v>
      </c>
      <c r="W345" s="1"/>
      <c r="X345" s="1"/>
      <c r="Y345" s="1"/>
      <c r="Z345" s="1"/>
      <c r="AA345" s="1"/>
    </row>
    <row r="346" spans="1:27" x14ac:dyDescent="0.3">
      <c r="A346" t="s">
        <v>52</v>
      </c>
      <c r="B346" t="s">
        <v>424</v>
      </c>
      <c r="C346" t="s">
        <v>425</v>
      </c>
      <c r="D346" t="s">
        <v>361</v>
      </c>
      <c r="E346" t="s">
        <v>427</v>
      </c>
      <c r="F346" t="s">
        <v>427</v>
      </c>
      <c r="G346" t="s">
        <v>427</v>
      </c>
      <c r="I346" t="s">
        <v>361</v>
      </c>
      <c r="L346" s="5" t="s">
        <v>361</v>
      </c>
      <c r="M346" s="1" t="s">
        <v>1</v>
      </c>
      <c r="N346" s="1"/>
      <c r="O346" s="1"/>
      <c r="P346" s="2">
        <v>0.75944924268439895</v>
      </c>
      <c r="Q346" s="1"/>
      <c r="R346" s="2">
        <v>4.9275226570199102E-2</v>
      </c>
      <c r="S346" s="2"/>
      <c r="T346" s="1"/>
      <c r="U346" s="1"/>
      <c r="V346" s="1"/>
      <c r="W346" s="1">
        <v>3</v>
      </c>
      <c r="X346" s="1"/>
      <c r="Y346" s="1">
        <v>5</v>
      </c>
      <c r="Z346" s="1"/>
      <c r="AA346" s="1"/>
    </row>
    <row r="347" spans="1:27" x14ac:dyDescent="0.3">
      <c r="K347" s="1" t="s">
        <v>53</v>
      </c>
      <c r="L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3">
      <c r="A348" t="s">
        <v>53</v>
      </c>
      <c r="B348" t="s">
        <v>441</v>
      </c>
      <c r="C348" t="s">
        <v>425</v>
      </c>
      <c r="D348" t="s">
        <v>362</v>
      </c>
      <c r="E348" t="s">
        <v>427</v>
      </c>
      <c r="F348" t="s">
        <v>427</v>
      </c>
      <c r="G348" t="s">
        <v>427</v>
      </c>
      <c r="I348" t="s">
        <v>362</v>
      </c>
      <c r="L348" s="5" t="s">
        <v>362</v>
      </c>
      <c r="M348" s="1" t="s">
        <v>1</v>
      </c>
      <c r="N348" s="2">
        <v>4.5140236429248703E-3</v>
      </c>
      <c r="O348" s="1"/>
      <c r="P348" s="1"/>
      <c r="Q348" s="1"/>
      <c r="R348" s="1"/>
      <c r="S348" s="1"/>
      <c r="T348" s="1"/>
      <c r="U348" s="1">
        <v>1</v>
      </c>
      <c r="V348" s="1"/>
      <c r="W348" s="1"/>
      <c r="X348" s="1"/>
      <c r="Y348" s="1"/>
      <c r="Z348" s="1"/>
      <c r="AA348" s="1"/>
    </row>
    <row r="349" spans="1:27" x14ac:dyDescent="0.3">
      <c r="K349" s="1" t="s">
        <v>54</v>
      </c>
      <c r="L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3">
      <c r="A350" t="s">
        <v>54</v>
      </c>
      <c r="B350" t="s">
        <v>424</v>
      </c>
      <c r="C350" t="s">
        <v>425</v>
      </c>
      <c r="D350" t="s">
        <v>363</v>
      </c>
      <c r="E350" t="s">
        <v>427</v>
      </c>
      <c r="F350" t="s">
        <v>427</v>
      </c>
      <c r="G350" t="s">
        <v>427</v>
      </c>
      <c r="I350" t="s">
        <v>363</v>
      </c>
      <c r="L350" s="5" t="s">
        <v>363</v>
      </c>
      <c r="M350" s="1" t="s">
        <v>1</v>
      </c>
      <c r="N350" s="2">
        <v>1.07543996167591</v>
      </c>
      <c r="O350" s="2">
        <v>4.5690788036089003E-2</v>
      </c>
      <c r="P350" s="2">
        <v>5.75762986980849E-2</v>
      </c>
      <c r="Q350" s="2">
        <v>6.7699304900961403E-3</v>
      </c>
      <c r="R350" s="2">
        <v>0.53968366517028699</v>
      </c>
      <c r="S350" s="2"/>
      <c r="T350" s="1"/>
      <c r="U350" s="1">
        <v>23</v>
      </c>
      <c r="V350" s="1">
        <v>3</v>
      </c>
      <c r="W350" s="1">
        <v>2</v>
      </c>
      <c r="X350" s="1">
        <v>1</v>
      </c>
      <c r="Y350" s="1">
        <v>19</v>
      </c>
      <c r="Z350" s="1"/>
      <c r="AA350" s="1"/>
    </row>
    <row r="351" spans="1:27" x14ac:dyDescent="0.3">
      <c r="A351" t="s">
        <v>54</v>
      </c>
      <c r="B351" t="s">
        <v>424</v>
      </c>
      <c r="C351" t="s">
        <v>425</v>
      </c>
      <c r="D351" t="s">
        <v>364</v>
      </c>
      <c r="E351" t="s">
        <v>426</v>
      </c>
      <c r="F351" t="s">
        <v>427</v>
      </c>
      <c r="G351" t="s">
        <v>427</v>
      </c>
      <c r="I351" t="s">
        <v>364</v>
      </c>
      <c r="L351" s="5" t="s">
        <v>364</v>
      </c>
      <c r="M351" s="1" t="s">
        <v>1</v>
      </c>
      <c r="N351" s="1"/>
      <c r="O351" s="2">
        <v>7.4513802422970903</v>
      </c>
      <c r="P351" s="1"/>
      <c r="Q351" s="1"/>
      <c r="R351" s="1"/>
      <c r="S351" s="1"/>
      <c r="T351" s="1"/>
      <c r="U351" s="1"/>
      <c r="V351" s="1">
        <v>16</v>
      </c>
      <c r="W351" s="1"/>
      <c r="X351" s="1"/>
      <c r="Y351" s="1"/>
      <c r="Z351" s="1"/>
      <c r="AA351" s="1"/>
    </row>
    <row r="352" spans="1:27" x14ac:dyDescent="0.3">
      <c r="A352" t="s">
        <v>54</v>
      </c>
      <c r="B352" t="s">
        <v>424</v>
      </c>
      <c r="C352" t="s">
        <v>425</v>
      </c>
      <c r="D352" t="s">
        <v>365</v>
      </c>
      <c r="E352" t="s">
        <v>426</v>
      </c>
      <c r="F352" t="s">
        <v>427</v>
      </c>
      <c r="G352" t="s">
        <v>427</v>
      </c>
      <c r="I352" t="s">
        <v>365</v>
      </c>
      <c r="L352" s="5" t="s">
        <v>365</v>
      </c>
      <c r="M352" s="1" t="s">
        <v>1</v>
      </c>
      <c r="N352" s="2">
        <v>5.96613068527986E-2</v>
      </c>
      <c r="O352" s="1"/>
      <c r="P352" s="1"/>
      <c r="Q352" s="1"/>
      <c r="R352" s="2">
        <v>1.7914486423101901E-2</v>
      </c>
      <c r="S352" s="2"/>
      <c r="T352" s="1"/>
      <c r="U352" s="1">
        <v>1</v>
      </c>
      <c r="V352" s="1"/>
      <c r="W352" s="1"/>
      <c r="X352" s="1"/>
      <c r="Y352" s="1">
        <v>2</v>
      </c>
      <c r="Z352" s="1"/>
      <c r="AA352" s="1"/>
    </row>
    <row r="353" spans="1:27" x14ac:dyDescent="0.3">
      <c r="A353" t="s">
        <v>54</v>
      </c>
      <c r="B353" t="s">
        <v>424</v>
      </c>
      <c r="C353" t="s">
        <v>425</v>
      </c>
      <c r="D353" t="s">
        <v>366</v>
      </c>
      <c r="E353" t="s">
        <v>427</v>
      </c>
      <c r="F353" t="s">
        <v>427</v>
      </c>
      <c r="G353" t="s">
        <v>427</v>
      </c>
      <c r="I353" t="s">
        <v>366</v>
      </c>
      <c r="L353" s="5" t="s">
        <v>366</v>
      </c>
      <c r="M353" s="1" t="s">
        <v>1</v>
      </c>
      <c r="N353" s="2">
        <v>0.55221778857139503</v>
      </c>
      <c r="O353" s="2">
        <v>1.0220544031496199</v>
      </c>
      <c r="P353" s="1"/>
      <c r="Q353" s="1"/>
      <c r="R353" s="2">
        <v>1.5835336023178599</v>
      </c>
      <c r="S353" s="2"/>
      <c r="T353" s="1"/>
      <c r="U353" s="1">
        <v>4</v>
      </c>
      <c r="V353" s="1">
        <v>8</v>
      </c>
      <c r="W353" s="1"/>
      <c r="X353" s="1"/>
      <c r="Y353" s="1">
        <v>8</v>
      </c>
      <c r="Z353" s="1"/>
      <c r="AA353" s="1"/>
    </row>
    <row r="354" spans="1:27" x14ac:dyDescent="0.3">
      <c r="A354" t="s">
        <v>54</v>
      </c>
      <c r="B354" t="s">
        <v>424</v>
      </c>
      <c r="C354" t="s">
        <v>425</v>
      </c>
      <c r="D354" t="s">
        <v>367</v>
      </c>
      <c r="E354" t="s">
        <v>427</v>
      </c>
      <c r="F354" t="s">
        <v>427</v>
      </c>
      <c r="G354" t="s">
        <v>427</v>
      </c>
      <c r="I354" t="s">
        <v>367</v>
      </c>
      <c r="L354" s="5" t="s">
        <v>367</v>
      </c>
      <c r="M354" s="1" t="s">
        <v>1</v>
      </c>
      <c r="N354" s="2">
        <v>4.6034871714107899</v>
      </c>
      <c r="O354" s="2">
        <v>4.3470276195435202</v>
      </c>
      <c r="P354" s="1"/>
      <c r="Q354" s="1"/>
      <c r="R354" s="2">
        <v>1.3847264924478599</v>
      </c>
      <c r="S354" s="2"/>
      <c r="T354" s="1"/>
      <c r="U354" s="1">
        <v>44</v>
      </c>
      <c r="V354" s="1">
        <v>29</v>
      </c>
      <c r="W354" s="1"/>
      <c r="X354" s="1"/>
      <c r="Y354" s="1">
        <v>42</v>
      </c>
      <c r="Z354" s="1"/>
      <c r="AA354" s="1"/>
    </row>
    <row r="355" spans="1:27" x14ac:dyDescent="0.3">
      <c r="A355" t="s">
        <v>54</v>
      </c>
      <c r="B355" t="s">
        <v>424</v>
      </c>
      <c r="C355" t="s">
        <v>425</v>
      </c>
      <c r="D355" t="s">
        <v>368</v>
      </c>
      <c r="E355" t="s">
        <v>427</v>
      </c>
      <c r="F355" t="s">
        <v>427</v>
      </c>
      <c r="G355" t="s">
        <v>427</v>
      </c>
      <c r="I355" t="s">
        <v>368</v>
      </c>
      <c r="L355" s="5" t="s">
        <v>368</v>
      </c>
      <c r="M355" s="1" t="s">
        <v>1</v>
      </c>
      <c r="N355" s="2">
        <v>3.31655256168472E-2</v>
      </c>
      <c r="O355" s="2">
        <v>0.23402595083422101</v>
      </c>
      <c r="P355" s="1"/>
      <c r="Q355" s="1"/>
      <c r="R355" s="1"/>
      <c r="S355" s="1"/>
      <c r="T355" s="1"/>
      <c r="U355" s="1">
        <v>3</v>
      </c>
      <c r="V355" s="1">
        <v>5</v>
      </c>
      <c r="W355" s="1"/>
      <c r="X355" s="1"/>
      <c r="Y355" s="1"/>
      <c r="Z355" s="1"/>
      <c r="AA355" s="1"/>
    </row>
    <row r="356" spans="1:27" x14ac:dyDescent="0.3">
      <c r="A356" t="s">
        <v>54</v>
      </c>
      <c r="B356" t="s">
        <v>424</v>
      </c>
      <c r="C356" t="s">
        <v>425</v>
      </c>
      <c r="D356" t="s">
        <v>369</v>
      </c>
      <c r="E356" t="s">
        <v>427</v>
      </c>
      <c r="F356" t="s">
        <v>427</v>
      </c>
      <c r="G356" t="s">
        <v>427</v>
      </c>
      <c r="I356" t="s">
        <v>369</v>
      </c>
      <c r="L356" s="5" t="s">
        <v>369</v>
      </c>
      <c r="M356" s="1" t="s">
        <v>1</v>
      </c>
      <c r="N356" s="2">
        <v>1.97837657628551E-2</v>
      </c>
      <c r="O356" s="1"/>
      <c r="P356" s="1"/>
      <c r="Q356" s="1"/>
      <c r="R356" s="2">
        <v>0.56232026866622198</v>
      </c>
      <c r="S356" s="2"/>
      <c r="T356" s="1"/>
      <c r="U356" s="1">
        <v>2</v>
      </c>
      <c r="V356" s="1"/>
      <c r="W356" s="1"/>
      <c r="X356" s="1"/>
      <c r="Y356" s="1">
        <v>6</v>
      </c>
      <c r="Z356" s="1"/>
      <c r="AA356" s="1"/>
    </row>
    <row r="357" spans="1:27" x14ac:dyDescent="0.3">
      <c r="A357" t="s">
        <v>54</v>
      </c>
      <c r="B357" t="s">
        <v>424</v>
      </c>
      <c r="C357" t="s">
        <v>425</v>
      </c>
      <c r="D357" t="s">
        <v>370</v>
      </c>
      <c r="E357" t="s">
        <v>427</v>
      </c>
      <c r="F357" t="s">
        <v>427</v>
      </c>
      <c r="G357" t="s">
        <v>427</v>
      </c>
      <c r="I357" t="s">
        <v>370</v>
      </c>
      <c r="L357" s="5" t="s">
        <v>370</v>
      </c>
      <c r="M357" s="1" t="s">
        <v>1</v>
      </c>
      <c r="N357" s="1"/>
      <c r="O357" s="2">
        <v>4.5065324887620202</v>
      </c>
      <c r="P357" s="1"/>
      <c r="Q357" s="1"/>
      <c r="R357" s="1"/>
      <c r="S357" s="1"/>
      <c r="T357" s="1"/>
      <c r="U357" s="1"/>
      <c r="V357" s="1">
        <v>9</v>
      </c>
      <c r="W357" s="1"/>
      <c r="X357" s="1"/>
      <c r="Y357" s="1"/>
      <c r="Z357" s="1"/>
      <c r="AA357" s="1"/>
    </row>
    <row r="358" spans="1:27" x14ac:dyDescent="0.3">
      <c r="K358" s="1" t="s">
        <v>55</v>
      </c>
      <c r="L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3">
      <c r="A359" t="s">
        <v>55</v>
      </c>
      <c r="B359" t="s">
        <v>424</v>
      </c>
      <c r="C359" t="s">
        <v>425</v>
      </c>
      <c r="D359" t="s">
        <v>371</v>
      </c>
      <c r="E359" t="s">
        <v>427</v>
      </c>
      <c r="F359" t="s">
        <v>427</v>
      </c>
      <c r="G359" t="s">
        <v>427</v>
      </c>
      <c r="I359" t="s">
        <v>371</v>
      </c>
      <c r="L359" s="5" t="s">
        <v>371</v>
      </c>
      <c r="M359" s="1" t="s">
        <v>1</v>
      </c>
      <c r="N359" s="2">
        <v>0.79327283036628704</v>
      </c>
      <c r="O359" s="2">
        <v>1.8740513654064901</v>
      </c>
      <c r="P359" s="1"/>
      <c r="Q359" s="1"/>
      <c r="R359" s="2">
        <v>0.23344426074396801</v>
      </c>
      <c r="S359" s="2">
        <f>T359/0.5</f>
        <v>1.4760797817693481</v>
      </c>
      <c r="T359" s="2">
        <v>0.73803989088467403</v>
      </c>
      <c r="U359" s="1">
        <v>85</v>
      </c>
      <c r="V359" s="1">
        <v>20</v>
      </c>
      <c r="W359" s="1"/>
      <c r="X359" s="1"/>
      <c r="Y359" s="1">
        <v>8</v>
      </c>
      <c r="Z359" s="1">
        <f>AA359/0.5</f>
        <v>40</v>
      </c>
      <c r="AA359" s="1">
        <v>20</v>
      </c>
    </row>
    <row r="360" spans="1:27" x14ac:dyDescent="0.3">
      <c r="A360" t="s">
        <v>55</v>
      </c>
      <c r="B360" t="s">
        <v>424</v>
      </c>
      <c r="C360" t="s">
        <v>425</v>
      </c>
      <c r="D360" t="s">
        <v>372</v>
      </c>
      <c r="E360" t="s">
        <v>427</v>
      </c>
      <c r="F360" t="s">
        <v>427</v>
      </c>
      <c r="G360" t="s">
        <v>427</v>
      </c>
      <c r="I360" t="s">
        <v>372</v>
      </c>
      <c r="L360" s="5" t="s">
        <v>372</v>
      </c>
      <c r="M360" s="1" t="s">
        <v>1</v>
      </c>
      <c r="N360" s="2">
        <v>6.5082903225445703</v>
      </c>
      <c r="O360" s="1"/>
      <c r="P360" s="1"/>
      <c r="Q360" s="1"/>
      <c r="R360" s="1"/>
      <c r="S360" s="1"/>
      <c r="T360" s="1"/>
      <c r="U360" s="1">
        <v>103</v>
      </c>
      <c r="V360" s="1"/>
      <c r="W360" s="1"/>
      <c r="X360" s="1"/>
      <c r="Y360" s="1"/>
      <c r="Z360" s="1"/>
      <c r="AA360" s="1"/>
    </row>
    <row r="361" spans="1:27" x14ac:dyDescent="0.3">
      <c r="A361" t="s">
        <v>55</v>
      </c>
      <c r="B361" t="s">
        <v>424</v>
      </c>
      <c r="C361" t="s">
        <v>425</v>
      </c>
      <c r="D361" t="s">
        <v>373</v>
      </c>
      <c r="E361" t="s">
        <v>427</v>
      </c>
      <c r="F361" t="s">
        <v>427</v>
      </c>
      <c r="G361" t="s">
        <v>427</v>
      </c>
      <c r="I361" t="s">
        <v>373</v>
      </c>
      <c r="L361" s="5" t="s">
        <v>373</v>
      </c>
      <c r="M361" s="1" t="s">
        <v>1</v>
      </c>
      <c r="N361" s="1"/>
      <c r="O361" s="2">
        <v>0.33234205808933698</v>
      </c>
      <c r="P361" s="1"/>
      <c r="Q361" s="1"/>
      <c r="R361" s="1"/>
      <c r="S361" s="1"/>
      <c r="T361" s="1"/>
      <c r="U361" s="1"/>
      <c r="V361" s="1">
        <v>8</v>
      </c>
      <c r="W361" s="1"/>
      <c r="X361" s="1"/>
      <c r="Y361" s="1"/>
      <c r="Z361" s="1"/>
      <c r="AA361" s="1"/>
    </row>
    <row r="362" spans="1:27" x14ac:dyDescent="0.3">
      <c r="A362" t="s">
        <v>55</v>
      </c>
      <c r="B362" t="s">
        <v>424</v>
      </c>
      <c r="C362" t="s">
        <v>425</v>
      </c>
      <c r="D362" t="s">
        <v>374</v>
      </c>
      <c r="E362" t="s">
        <v>427</v>
      </c>
      <c r="F362" t="s">
        <v>427</v>
      </c>
      <c r="G362" t="s">
        <v>427</v>
      </c>
      <c r="I362" t="s">
        <v>374</v>
      </c>
      <c r="L362" s="5" t="s">
        <v>374</v>
      </c>
      <c r="M362" s="1" t="s">
        <v>1</v>
      </c>
      <c r="N362" s="2">
        <v>0.75725469677988599</v>
      </c>
      <c r="O362" s="2">
        <v>3.9390250542364801E-2</v>
      </c>
      <c r="P362" s="1"/>
      <c r="Q362" s="1"/>
      <c r="R362" s="1"/>
      <c r="S362" s="1"/>
      <c r="T362" s="1"/>
      <c r="U362" s="1">
        <v>10</v>
      </c>
      <c r="V362" s="1">
        <v>1</v>
      </c>
      <c r="W362" s="1"/>
      <c r="X362" s="1"/>
      <c r="Y362" s="1"/>
      <c r="Z362" s="1"/>
      <c r="AA362" s="1"/>
    </row>
    <row r="363" spans="1:27" x14ac:dyDescent="0.3">
      <c r="A363" t="s">
        <v>55</v>
      </c>
      <c r="B363" t="s">
        <v>424</v>
      </c>
      <c r="C363" t="s">
        <v>425</v>
      </c>
      <c r="D363" t="s">
        <v>375</v>
      </c>
      <c r="E363" t="s">
        <v>427</v>
      </c>
      <c r="F363" t="s">
        <v>427</v>
      </c>
      <c r="G363" t="s">
        <v>427</v>
      </c>
      <c r="I363" t="s">
        <v>375</v>
      </c>
      <c r="L363" s="5" t="s">
        <v>375</v>
      </c>
      <c r="M363" s="1" t="s">
        <v>1</v>
      </c>
      <c r="N363" s="1"/>
      <c r="O363" s="2">
        <v>9.7907464195766494</v>
      </c>
      <c r="P363" s="1"/>
      <c r="Q363" s="1"/>
      <c r="R363" s="1"/>
      <c r="S363" s="1"/>
      <c r="T363" s="1"/>
      <c r="U363" s="1"/>
      <c r="V363" s="1">
        <v>7</v>
      </c>
      <c r="W363" s="1"/>
      <c r="X363" s="1"/>
      <c r="Y363" s="1"/>
      <c r="Z363" s="1"/>
      <c r="AA363" s="1"/>
    </row>
    <row r="364" spans="1:27" x14ac:dyDescent="0.3">
      <c r="A364" t="s">
        <v>55</v>
      </c>
      <c r="B364" t="s">
        <v>424</v>
      </c>
      <c r="C364" t="s">
        <v>425</v>
      </c>
      <c r="D364" t="s">
        <v>376</v>
      </c>
      <c r="E364" t="s">
        <v>427</v>
      </c>
      <c r="F364" t="s">
        <v>427</v>
      </c>
      <c r="G364" t="s">
        <v>427</v>
      </c>
      <c r="I364" t="s">
        <v>376</v>
      </c>
      <c r="L364" s="5" t="s">
        <v>376</v>
      </c>
      <c r="M364" s="1" t="s">
        <v>1</v>
      </c>
      <c r="N364" s="2">
        <v>66.156885231793296</v>
      </c>
      <c r="O364" s="2">
        <v>16.7194226995252</v>
      </c>
      <c r="P364" s="1"/>
      <c r="Q364" s="1"/>
      <c r="R364" s="2">
        <v>31.036887236070498</v>
      </c>
      <c r="S364" s="2"/>
      <c r="T364" s="1"/>
      <c r="U364" s="1">
        <v>163</v>
      </c>
      <c r="V364" s="1">
        <v>30</v>
      </c>
      <c r="W364" s="1"/>
      <c r="X364" s="1"/>
      <c r="Y364" s="1">
        <v>394</v>
      </c>
      <c r="Z364" s="1"/>
      <c r="AA364" s="1"/>
    </row>
    <row r="365" spans="1:27" x14ac:dyDescent="0.3">
      <c r="K365" s="1" t="s">
        <v>56</v>
      </c>
      <c r="L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3">
      <c r="A366" t="s">
        <v>56</v>
      </c>
      <c r="B366" t="s">
        <v>424</v>
      </c>
      <c r="C366" t="s">
        <v>425</v>
      </c>
      <c r="D366" t="s">
        <v>377</v>
      </c>
      <c r="E366" t="s">
        <v>427</v>
      </c>
      <c r="F366" t="s">
        <v>427</v>
      </c>
      <c r="G366" t="s">
        <v>427</v>
      </c>
      <c r="I366" t="s">
        <v>377</v>
      </c>
      <c r="L366" s="5" t="s">
        <v>377</v>
      </c>
      <c r="M366" s="1" t="s">
        <v>1</v>
      </c>
      <c r="N366" s="1"/>
      <c r="O366" s="2">
        <v>0.26976250734053803</v>
      </c>
      <c r="P366" s="1"/>
      <c r="Q366" s="1"/>
      <c r="R366" s="1"/>
      <c r="S366" s="1"/>
      <c r="T366" s="1"/>
      <c r="U366" s="1"/>
      <c r="V366" s="1">
        <v>5</v>
      </c>
      <c r="W366" s="1"/>
      <c r="X366" s="1"/>
      <c r="Y366" s="1"/>
      <c r="Z366" s="1"/>
      <c r="AA366" s="1"/>
    </row>
    <row r="367" spans="1:27" x14ac:dyDescent="0.3">
      <c r="A367" t="s">
        <v>56</v>
      </c>
      <c r="B367" t="s">
        <v>424</v>
      </c>
      <c r="C367" t="s">
        <v>425</v>
      </c>
      <c r="D367" t="s">
        <v>378</v>
      </c>
      <c r="E367" t="s">
        <v>427</v>
      </c>
      <c r="F367" t="s">
        <v>427</v>
      </c>
      <c r="G367" t="s">
        <v>427</v>
      </c>
      <c r="I367" t="s">
        <v>378</v>
      </c>
      <c r="L367" s="5" t="s">
        <v>378</v>
      </c>
      <c r="M367" s="1" t="s">
        <v>1</v>
      </c>
      <c r="N367" s="2">
        <v>1.36602559889816</v>
      </c>
      <c r="O367" s="2">
        <v>0.143244491197388</v>
      </c>
      <c r="P367" s="1"/>
      <c r="Q367" s="1"/>
      <c r="R367" s="1"/>
      <c r="S367" s="1"/>
      <c r="T367" s="1"/>
      <c r="U367" s="1">
        <v>10</v>
      </c>
      <c r="V367" s="1">
        <v>1</v>
      </c>
      <c r="W367" s="1"/>
      <c r="X367" s="1"/>
      <c r="Y367" s="1"/>
      <c r="Z367" s="1"/>
      <c r="AA367" s="1"/>
    </row>
    <row r="368" spans="1:27" x14ac:dyDescent="0.3">
      <c r="A368" t="s">
        <v>56</v>
      </c>
      <c r="B368" t="s">
        <v>424</v>
      </c>
      <c r="C368" t="s">
        <v>425</v>
      </c>
      <c r="D368" t="s">
        <v>379</v>
      </c>
      <c r="E368" t="s">
        <v>434</v>
      </c>
      <c r="F368" t="s">
        <v>427</v>
      </c>
      <c r="G368" t="s">
        <v>427</v>
      </c>
      <c r="I368" t="s">
        <v>379</v>
      </c>
      <c r="L368" s="5" t="s">
        <v>379</v>
      </c>
      <c r="M368" s="1" t="s">
        <v>1</v>
      </c>
      <c r="N368" s="2">
        <v>0.18061564438310099</v>
      </c>
      <c r="O368" s="1"/>
      <c r="P368" s="1"/>
      <c r="Q368" s="1"/>
      <c r="R368" s="1"/>
      <c r="S368" s="1"/>
      <c r="T368" s="1"/>
      <c r="U368" s="1">
        <v>1</v>
      </c>
      <c r="V368" s="1"/>
      <c r="W368" s="1"/>
      <c r="X368" s="1"/>
      <c r="Y368" s="1"/>
      <c r="Z368" s="1"/>
      <c r="AA368" s="1"/>
    </row>
    <row r="369" spans="1:27" x14ac:dyDescent="0.3">
      <c r="A369" t="s">
        <v>56</v>
      </c>
      <c r="B369" t="s">
        <v>424</v>
      </c>
      <c r="C369" t="s">
        <v>425</v>
      </c>
      <c r="D369" t="s">
        <v>380</v>
      </c>
      <c r="E369" t="s">
        <v>427</v>
      </c>
      <c r="F369" t="s">
        <v>427</v>
      </c>
      <c r="G369" t="s">
        <v>427</v>
      </c>
      <c r="I369" t="s">
        <v>380</v>
      </c>
      <c r="L369" s="5" t="s">
        <v>380</v>
      </c>
      <c r="M369" s="1" t="s">
        <v>1</v>
      </c>
      <c r="N369" s="1"/>
      <c r="O369" s="2">
        <v>0.12811269898455799</v>
      </c>
      <c r="P369" s="1"/>
      <c r="Q369" s="1"/>
      <c r="R369" s="1"/>
      <c r="S369" s="1"/>
      <c r="T369" s="1"/>
      <c r="U369" s="1"/>
      <c r="V369" s="1">
        <v>1</v>
      </c>
      <c r="W369" s="1"/>
      <c r="X369" s="1"/>
      <c r="Y369" s="1"/>
      <c r="Z369" s="1"/>
      <c r="AA369" s="1"/>
    </row>
    <row r="370" spans="1:27" x14ac:dyDescent="0.3">
      <c r="K370" s="1" t="s">
        <v>57</v>
      </c>
      <c r="L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3">
      <c r="A371" t="s">
        <v>57</v>
      </c>
      <c r="B371" t="s">
        <v>424</v>
      </c>
      <c r="C371" t="s">
        <v>425</v>
      </c>
      <c r="D371" t="s">
        <v>381</v>
      </c>
      <c r="E371" t="s">
        <v>426</v>
      </c>
      <c r="F371" t="s">
        <v>427</v>
      </c>
      <c r="G371" t="s">
        <v>427</v>
      </c>
      <c r="I371" t="s">
        <v>381</v>
      </c>
      <c r="L371" s="5" t="s">
        <v>381</v>
      </c>
      <c r="M371" s="1" t="s">
        <v>5</v>
      </c>
      <c r="N371" s="1"/>
      <c r="O371" s="1"/>
      <c r="P371" s="1"/>
      <c r="Q371" s="1"/>
      <c r="R371" s="2">
        <v>4.5656200696892801E-2</v>
      </c>
      <c r="S371" s="2"/>
      <c r="T371" s="1"/>
      <c r="U371" s="1"/>
      <c r="V371" s="1"/>
      <c r="W371" s="1"/>
      <c r="X371" s="1"/>
      <c r="Y371" s="1">
        <v>1</v>
      </c>
      <c r="Z371" s="1"/>
      <c r="AA371" s="1"/>
    </row>
    <row r="372" spans="1:27" x14ac:dyDescent="0.3">
      <c r="K372" s="1" t="s">
        <v>58</v>
      </c>
      <c r="L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3">
      <c r="A373" t="s">
        <v>58</v>
      </c>
      <c r="B373" t="s">
        <v>424</v>
      </c>
      <c r="C373" t="s">
        <v>425</v>
      </c>
      <c r="D373" t="s">
        <v>382</v>
      </c>
      <c r="E373" t="s">
        <v>427</v>
      </c>
      <c r="F373" t="s">
        <v>427</v>
      </c>
      <c r="G373" t="s">
        <v>427</v>
      </c>
      <c r="I373" t="s">
        <v>382</v>
      </c>
      <c r="L373" s="5" t="s">
        <v>382</v>
      </c>
      <c r="M373" s="1" t="s">
        <v>1</v>
      </c>
      <c r="N373" s="1"/>
      <c r="O373" s="2">
        <v>3.0335248405175701E-2</v>
      </c>
      <c r="P373" s="1"/>
      <c r="Q373" s="1"/>
      <c r="R373" s="1"/>
      <c r="S373" s="1"/>
      <c r="T373" s="1"/>
      <c r="U373" s="1"/>
      <c r="V373" s="1">
        <v>1</v>
      </c>
      <c r="W373" s="1"/>
      <c r="X373" s="1"/>
      <c r="Y373" s="1"/>
      <c r="Z373" s="1"/>
      <c r="AA373" s="1"/>
    </row>
    <row r="374" spans="1:27" x14ac:dyDescent="0.3">
      <c r="A374" t="s">
        <v>427</v>
      </c>
      <c r="B374" t="s">
        <v>427</v>
      </c>
      <c r="C374" t="s">
        <v>427</v>
      </c>
      <c r="D374" t="s">
        <v>427</v>
      </c>
      <c r="E374" t="s">
        <v>427</v>
      </c>
      <c r="F374" t="s">
        <v>427</v>
      </c>
      <c r="G374" t="s">
        <v>427</v>
      </c>
      <c r="H374" t="s">
        <v>437</v>
      </c>
      <c r="I374" t="s">
        <v>383</v>
      </c>
      <c r="L374" s="5" t="s">
        <v>383</v>
      </c>
      <c r="M374" s="1" t="s">
        <v>1</v>
      </c>
      <c r="N374" s="1"/>
      <c r="O374" s="1"/>
      <c r="P374" s="2">
        <v>0.179577250585679</v>
      </c>
      <c r="Q374" s="1"/>
      <c r="R374" s="1"/>
      <c r="S374" s="1"/>
      <c r="T374" s="1"/>
      <c r="U374" s="1"/>
      <c r="V374" s="1"/>
      <c r="W374" s="1">
        <v>1</v>
      </c>
      <c r="X374" s="1"/>
      <c r="Y374" s="1"/>
      <c r="Z374" s="1"/>
      <c r="AA374" s="1"/>
    </row>
    <row r="375" spans="1:27" x14ac:dyDescent="0.3">
      <c r="A375" t="s">
        <v>58</v>
      </c>
      <c r="B375" t="s">
        <v>424</v>
      </c>
      <c r="C375" t="s">
        <v>425</v>
      </c>
      <c r="D375" t="s">
        <v>490</v>
      </c>
      <c r="E375" t="s">
        <v>427</v>
      </c>
      <c r="F375" t="s">
        <v>427</v>
      </c>
      <c r="G375" t="s">
        <v>427</v>
      </c>
      <c r="H375" t="s">
        <v>436</v>
      </c>
      <c r="I375" t="s">
        <v>384</v>
      </c>
      <c r="L375" s="5" t="s">
        <v>384</v>
      </c>
      <c r="M375" s="1" t="s">
        <v>1</v>
      </c>
      <c r="N375" s="1"/>
      <c r="O375" s="2">
        <v>6.22136692825811E-3</v>
      </c>
      <c r="P375" s="1"/>
      <c r="Q375" s="1"/>
      <c r="R375" s="1"/>
      <c r="S375" s="1"/>
      <c r="T375" s="1"/>
      <c r="U375" s="1"/>
      <c r="V375" s="1">
        <v>1</v>
      </c>
      <c r="W375" s="1"/>
      <c r="X375" s="1"/>
      <c r="Y375" s="1"/>
      <c r="Z375" s="1"/>
      <c r="AA375" s="1"/>
    </row>
    <row r="376" spans="1:27" x14ac:dyDescent="0.3">
      <c r="A376" t="s">
        <v>58</v>
      </c>
      <c r="B376" t="s">
        <v>424</v>
      </c>
      <c r="C376" t="s">
        <v>425</v>
      </c>
      <c r="D376" t="s">
        <v>385</v>
      </c>
      <c r="E376" t="s">
        <v>426</v>
      </c>
      <c r="F376" t="s">
        <v>427</v>
      </c>
      <c r="G376" t="s">
        <v>427</v>
      </c>
      <c r="I376" t="s">
        <v>385</v>
      </c>
      <c r="L376" s="5" t="s">
        <v>385</v>
      </c>
      <c r="M376" s="1" t="s">
        <v>1</v>
      </c>
      <c r="N376" s="1"/>
      <c r="O376" s="2">
        <v>0.25265589257549997</v>
      </c>
      <c r="P376" s="1"/>
      <c r="Q376" s="1"/>
      <c r="R376" s="2">
        <v>0.204247032536649</v>
      </c>
      <c r="S376" s="2"/>
      <c r="T376" s="1"/>
      <c r="U376" s="1"/>
      <c r="V376" s="1">
        <v>1</v>
      </c>
      <c r="W376" s="1"/>
      <c r="X376" s="1"/>
      <c r="Y376" s="1">
        <v>3</v>
      </c>
      <c r="Z376" s="1"/>
      <c r="AA376" s="1"/>
    </row>
    <row r="377" spans="1:27" x14ac:dyDescent="0.3">
      <c r="A377" t="s">
        <v>58</v>
      </c>
      <c r="B377" t="s">
        <v>424</v>
      </c>
      <c r="C377" t="s">
        <v>425</v>
      </c>
      <c r="D377" t="s">
        <v>386</v>
      </c>
      <c r="E377" t="s">
        <v>427</v>
      </c>
      <c r="F377" t="s">
        <v>427</v>
      </c>
      <c r="G377" t="s">
        <v>427</v>
      </c>
      <c r="I377" t="s">
        <v>386</v>
      </c>
      <c r="L377" s="5" t="s">
        <v>386</v>
      </c>
      <c r="M377" s="1" t="s">
        <v>1</v>
      </c>
      <c r="N377" s="1"/>
      <c r="O377" s="1"/>
      <c r="P377" s="1"/>
      <c r="Q377" s="2">
        <v>2.67421316759845E-2</v>
      </c>
      <c r="R377" s="1"/>
      <c r="S377" s="1"/>
      <c r="T377" s="1"/>
      <c r="U377" s="1"/>
      <c r="V377" s="1"/>
      <c r="W377" s="1"/>
      <c r="X377" s="1">
        <v>1</v>
      </c>
      <c r="Y377" s="1"/>
      <c r="Z377" s="1"/>
      <c r="AA377" s="1"/>
    </row>
    <row r="378" spans="1:27" x14ac:dyDescent="0.3">
      <c r="A378" t="s">
        <v>58</v>
      </c>
      <c r="B378" t="s">
        <v>424</v>
      </c>
      <c r="C378" t="s">
        <v>425</v>
      </c>
      <c r="D378" t="s">
        <v>387</v>
      </c>
      <c r="E378" t="s">
        <v>427</v>
      </c>
      <c r="F378" t="s">
        <v>427</v>
      </c>
      <c r="G378" t="s">
        <v>427</v>
      </c>
      <c r="I378" t="s">
        <v>387</v>
      </c>
      <c r="L378" s="5" t="s">
        <v>387</v>
      </c>
      <c r="M378" s="1" t="s">
        <v>1</v>
      </c>
      <c r="N378" s="1"/>
      <c r="O378" s="1"/>
      <c r="P378" s="2">
        <v>2.75345925990199E-2</v>
      </c>
      <c r="Q378" s="1"/>
      <c r="R378" s="1"/>
      <c r="S378" s="1"/>
      <c r="T378" s="1"/>
      <c r="U378" s="1"/>
      <c r="V378" s="1"/>
      <c r="W378" s="1">
        <v>5</v>
      </c>
      <c r="X378" s="1"/>
      <c r="Y378" s="1"/>
      <c r="Z378" s="1"/>
      <c r="AA378" s="1"/>
    </row>
    <row r="379" spans="1:27" x14ac:dyDescent="0.3">
      <c r="A379" t="s">
        <v>58</v>
      </c>
      <c r="B379" t="s">
        <v>424</v>
      </c>
      <c r="C379" t="s">
        <v>425</v>
      </c>
      <c r="D379" t="s">
        <v>388</v>
      </c>
      <c r="E379" t="s">
        <v>426</v>
      </c>
      <c r="F379" t="s">
        <v>427</v>
      </c>
      <c r="G379" t="s">
        <v>427</v>
      </c>
      <c r="I379" t="s">
        <v>388</v>
      </c>
      <c r="L379" s="5" t="s">
        <v>388</v>
      </c>
      <c r="M379" s="1" t="s">
        <v>1</v>
      </c>
      <c r="N379" s="2">
        <v>3.7602132791656598E-2</v>
      </c>
      <c r="O379" s="2">
        <v>1.7271283712718601E-2</v>
      </c>
      <c r="P379" s="2">
        <v>8.5512131109025905E-2</v>
      </c>
      <c r="Q379" s="1"/>
      <c r="R379" s="1"/>
      <c r="S379" s="1"/>
      <c r="T379" s="1"/>
      <c r="U379" s="1">
        <v>4</v>
      </c>
      <c r="V379" s="1">
        <v>1</v>
      </c>
      <c r="W379" s="1">
        <v>4</v>
      </c>
      <c r="X379" s="1"/>
      <c r="Y379" s="1"/>
      <c r="Z379" s="1"/>
      <c r="AA379" s="1"/>
    </row>
    <row r="380" spans="1:27" x14ac:dyDescent="0.3">
      <c r="A380" t="s">
        <v>58</v>
      </c>
      <c r="B380" t="s">
        <v>424</v>
      </c>
      <c r="C380" t="s">
        <v>425</v>
      </c>
      <c r="D380" t="s">
        <v>389</v>
      </c>
      <c r="E380" t="s">
        <v>427</v>
      </c>
      <c r="F380" t="s">
        <v>427</v>
      </c>
      <c r="G380" t="s">
        <v>427</v>
      </c>
      <c r="I380" t="s">
        <v>389</v>
      </c>
      <c r="L380" s="5" t="s">
        <v>389</v>
      </c>
      <c r="M380" s="1" t="s">
        <v>1</v>
      </c>
      <c r="N380" s="2">
        <v>0.5828183692701</v>
      </c>
      <c r="O380" s="1"/>
      <c r="P380" s="1"/>
      <c r="Q380" s="1"/>
      <c r="R380" s="1"/>
      <c r="S380" s="1"/>
      <c r="T380" s="1"/>
      <c r="U380" s="1">
        <v>16</v>
      </c>
      <c r="V380" s="1"/>
      <c r="W380" s="1"/>
      <c r="X380" s="1"/>
      <c r="Y380" s="1"/>
      <c r="Z380" s="1"/>
      <c r="AA380" s="1"/>
    </row>
    <row r="381" spans="1:27" x14ac:dyDescent="0.3">
      <c r="A381" t="s">
        <v>58</v>
      </c>
      <c r="B381" t="s">
        <v>424</v>
      </c>
      <c r="C381" t="s">
        <v>425</v>
      </c>
      <c r="D381" t="s">
        <v>390</v>
      </c>
      <c r="E381" t="s">
        <v>427</v>
      </c>
      <c r="F381" t="s">
        <v>427</v>
      </c>
      <c r="G381" t="s">
        <v>427</v>
      </c>
      <c r="I381" t="s">
        <v>390</v>
      </c>
      <c r="L381" s="5" t="s">
        <v>390</v>
      </c>
      <c r="M381" s="1" t="s">
        <v>1</v>
      </c>
      <c r="N381" s="1"/>
      <c r="O381" s="2">
        <v>0.25172961648681402</v>
      </c>
      <c r="P381" s="1"/>
      <c r="Q381" s="1"/>
      <c r="R381" s="1"/>
      <c r="S381" s="1"/>
      <c r="T381" s="1"/>
      <c r="U381" s="1"/>
      <c r="V381" s="1">
        <v>12</v>
      </c>
      <c r="W381" s="1"/>
      <c r="X381" s="1"/>
      <c r="Y381" s="1"/>
      <c r="Z381" s="1"/>
      <c r="AA381" s="1"/>
    </row>
    <row r="382" spans="1:27" x14ac:dyDescent="0.3">
      <c r="A382" t="s">
        <v>58</v>
      </c>
      <c r="B382" t="s">
        <v>424</v>
      </c>
      <c r="C382" t="s">
        <v>425</v>
      </c>
      <c r="D382" t="s">
        <v>391</v>
      </c>
      <c r="E382" t="s">
        <v>427</v>
      </c>
      <c r="F382" t="s">
        <v>427</v>
      </c>
      <c r="G382" t="s">
        <v>427</v>
      </c>
      <c r="I382" t="s">
        <v>391</v>
      </c>
      <c r="L382" s="5" t="s">
        <v>391</v>
      </c>
      <c r="M382" s="1" t="s">
        <v>1</v>
      </c>
      <c r="N382" s="1"/>
      <c r="O382" s="2">
        <v>9.2416166413074999E-2</v>
      </c>
      <c r="P382" s="2">
        <v>1.33775167865201E-2</v>
      </c>
      <c r="Q382" s="2">
        <v>2.0798890627483999</v>
      </c>
      <c r="R382" s="1"/>
      <c r="S382" s="1"/>
      <c r="T382" s="1"/>
      <c r="U382" s="1"/>
      <c r="V382" s="1">
        <v>1</v>
      </c>
      <c r="W382" s="1">
        <v>1</v>
      </c>
      <c r="X382" s="1">
        <v>30</v>
      </c>
      <c r="Y382" s="1"/>
      <c r="Z382" s="1"/>
      <c r="AA382" s="1"/>
    </row>
    <row r="383" spans="1:27" x14ac:dyDescent="0.3">
      <c r="K383" s="1" t="s">
        <v>59</v>
      </c>
      <c r="L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3">
      <c r="A384" t="s">
        <v>59</v>
      </c>
      <c r="B384" t="s">
        <v>424</v>
      </c>
      <c r="C384" t="s">
        <v>425</v>
      </c>
      <c r="D384" t="s">
        <v>392</v>
      </c>
      <c r="E384" t="s">
        <v>427</v>
      </c>
      <c r="F384" t="s">
        <v>427</v>
      </c>
      <c r="G384" t="s">
        <v>427</v>
      </c>
      <c r="I384" t="s">
        <v>392</v>
      </c>
      <c r="L384" s="5" t="s">
        <v>392</v>
      </c>
      <c r="M384" s="1" t="s">
        <v>5</v>
      </c>
      <c r="N384" s="1"/>
      <c r="O384" s="2">
        <v>9.0052534251027605E-2</v>
      </c>
      <c r="P384" s="1"/>
      <c r="Q384" s="1"/>
      <c r="R384" s="1"/>
      <c r="S384" s="1"/>
      <c r="T384" s="1"/>
      <c r="U384" s="1"/>
      <c r="V384" s="1">
        <v>1</v>
      </c>
      <c r="W384" s="1"/>
      <c r="X384" s="1"/>
      <c r="Y384" s="1"/>
      <c r="Z384" s="1"/>
      <c r="AA384" s="1"/>
    </row>
    <row r="385" spans="1:27" x14ac:dyDescent="0.3">
      <c r="A385" t="s">
        <v>59</v>
      </c>
      <c r="B385" t="s">
        <v>424</v>
      </c>
      <c r="C385" t="s">
        <v>425</v>
      </c>
      <c r="D385" t="s">
        <v>393</v>
      </c>
      <c r="E385" t="s">
        <v>427</v>
      </c>
      <c r="F385" t="s">
        <v>427</v>
      </c>
      <c r="G385" t="s">
        <v>427</v>
      </c>
      <c r="I385" t="s">
        <v>393</v>
      </c>
      <c r="L385" s="5" t="s">
        <v>393</v>
      </c>
      <c r="M385" s="1" t="s">
        <v>5</v>
      </c>
      <c r="N385" s="1"/>
      <c r="O385" s="1"/>
      <c r="P385" s="2">
        <v>0.112108260741219</v>
      </c>
      <c r="Q385" s="1"/>
      <c r="R385" s="1"/>
      <c r="S385" s="2">
        <f>T385/0.5</f>
        <v>0.11378094137425999</v>
      </c>
      <c r="T385" s="2">
        <v>5.6890470687129997E-2</v>
      </c>
      <c r="U385" s="1"/>
      <c r="V385" s="1"/>
      <c r="W385" s="1">
        <v>6</v>
      </c>
      <c r="X385" s="1"/>
      <c r="Y385" s="1"/>
      <c r="Z385" s="1">
        <f>AA385/0.5</f>
        <v>8</v>
      </c>
      <c r="AA385" s="1">
        <v>4</v>
      </c>
    </row>
    <row r="386" spans="1:27" x14ac:dyDescent="0.3">
      <c r="A386" t="s">
        <v>59</v>
      </c>
      <c r="B386" t="s">
        <v>424</v>
      </c>
      <c r="C386" t="s">
        <v>425</v>
      </c>
      <c r="D386" t="s">
        <v>394</v>
      </c>
      <c r="E386" t="s">
        <v>427</v>
      </c>
      <c r="F386" t="s">
        <v>427</v>
      </c>
      <c r="G386" t="s">
        <v>427</v>
      </c>
      <c r="I386" t="s">
        <v>394</v>
      </c>
      <c r="L386" s="5" t="s">
        <v>394</v>
      </c>
      <c r="M386" s="1" t="s">
        <v>5</v>
      </c>
      <c r="N386" s="1"/>
      <c r="O386" s="2">
        <v>3.7274194784312598E-2</v>
      </c>
      <c r="P386" s="1"/>
      <c r="Q386" s="1"/>
      <c r="R386" s="1"/>
      <c r="S386" s="1"/>
      <c r="T386" s="1"/>
      <c r="U386" s="1"/>
      <c r="V386" s="1">
        <v>3</v>
      </c>
      <c r="W386" s="1"/>
      <c r="X386" s="1"/>
      <c r="Y386" s="1"/>
      <c r="Z386" s="1"/>
      <c r="AA386" s="1"/>
    </row>
    <row r="387" spans="1:27" x14ac:dyDescent="0.3">
      <c r="K387" s="1" t="s">
        <v>60</v>
      </c>
      <c r="L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3">
      <c r="A388" t="s">
        <v>60</v>
      </c>
      <c r="B388" t="s">
        <v>424</v>
      </c>
      <c r="C388" t="s">
        <v>425</v>
      </c>
      <c r="D388" t="s">
        <v>395</v>
      </c>
      <c r="E388" t="s">
        <v>427</v>
      </c>
      <c r="F388" t="s">
        <v>427</v>
      </c>
      <c r="G388" t="s">
        <v>427</v>
      </c>
      <c r="I388" t="s">
        <v>395</v>
      </c>
      <c r="L388" s="5" t="s">
        <v>395</v>
      </c>
      <c r="M388" s="1" t="s">
        <v>1</v>
      </c>
      <c r="N388" s="1"/>
      <c r="O388" s="1"/>
      <c r="P388" s="2">
        <v>8.9843302018808094E-3</v>
      </c>
      <c r="Q388" s="1"/>
      <c r="R388" s="1"/>
      <c r="S388" s="2">
        <f>T388/0.5</f>
        <v>1.9106676426541638E-2</v>
      </c>
      <c r="T388" s="2">
        <v>9.5533382132708192E-3</v>
      </c>
      <c r="U388" s="1"/>
      <c r="V388" s="1"/>
      <c r="W388" s="1">
        <v>1</v>
      </c>
      <c r="X388" s="1"/>
      <c r="Y388" s="1"/>
      <c r="Z388" s="1">
        <f>AA388/0.5</f>
        <v>2</v>
      </c>
      <c r="AA388" s="1">
        <v>1</v>
      </c>
    </row>
    <row r="389" spans="1:27" x14ac:dyDescent="0.3">
      <c r="A389" t="s">
        <v>60</v>
      </c>
      <c r="B389" t="s">
        <v>424</v>
      </c>
      <c r="C389" t="s">
        <v>425</v>
      </c>
      <c r="D389" t="s">
        <v>396</v>
      </c>
      <c r="E389" t="s">
        <v>427</v>
      </c>
      <c r="F389" t="s">
        <v>427</v>
      </c>
      <c r="G389" t="s">
        <v>427</v>
      </c>
      <c r="I389" t="s">
        <v>396</v>
      </c>
      <c r="L389" s="5" t="s">
        <v>396</v>
      </c>
      <c r="M389" s="1" t="s">
        <v>1</v>
      </c>
      <c r="N389" s="1"/>
      <c r="O389" s="1"/>
      <c r="P389" s="2">
        <v>1.96821586223467E-2</v>
      </c>
      <c r="Q389" s="1"/>
      <c r="R389" s="1"/>
      <c r="S389" s="1"/>
      <c r="T389" s="1"/>
      <c r="U389" s="1"/>
      <c r="V389" s="1"/>
      <c r="W389" s="1">
        <v>2</v>
      </c>
      <c r="X389" s="1"/>
      <c r="Y389" s="1"/>
      <c r="Z389" s="1"/>
      <c r="AA389" s="1"/>
    </row>
    <row r="390" spans="1:27" x14ac:dyDescent="0.3">
      <c r="A390" t="s">
        <v>60</v>
      </c>
      <c r="B390" t="s">
        <v>424</v>
      </c>
      <c r="C390" t="s">
        <v>425</v>
      </c>
      <c r="D390" t="s">
        <v>397</v>
      </c>
      <c r="E390" t="s">
        <v>426</v>
      </c>
      <c r="F390" t="s">
        <v>427</v>
      </c>
      <c r="G390" t="s">
        <v>427</v>
      </c>
      <c r="I390" t="s">
        <v>397</v>
      </c>
      <c r="L390" s="5" t="s">
        <v>397</v>
      </c>
      <c r="M390" s="1" t="s">
        <v>1</v>
      </c>
      <c r="N390" s="1"/>
      <c r="O390" s="1"/>
      <c r="P390" s="2">
        <v>1.9056425118173399</v>
      </c>
      <c r="Q390" s="2">
        <v>2.1069755016571601</v>
      </c>
      <c r="R390" s="2">
        <v>7.5630345267794302E-2</v>
      </c>
      <c r="S390" s="2">
        <f>T390/0.5</f>
        <v>0.39787599160474602</v>
      </c>
      <c r="T390" s="2">
        <v>0.19893799580237301</v>
      </c>
      <c r="U390" s="1"/>
      <c r="V390" s="1"/>
      <c r="W390" s="1">
        <v>67</v>
      </c>
      <c r="X390" s="1">
        <v>67</v>
      </c>
      <c r="Y390" s="1">
        <v>3</v>
      </c>
      <c r="Z390" s="1">
        <f>AA390/0.5</f>
        <v>20</v>
      </c>
      <c r="AA390" s="1">
        <v>10</v>
      </c>
    </row>
    <row r="391" spans="1:27" x14ac:dyDescent="0.3">
      <c r="A391" t="s">
        <v>60</v>
      </c>
      <c r="B391" t="s">
        <v>424</v>
      </c>
      <c r="C391" t="s">
        <v>425</v>
      </c>
      <c r="D391" t="s">
        <v>398</v>
      </c>
      <c r="E391" t="s">
        <v>427</v>
      </c>
      <c r="F391" t="s">
        <v>427</v>
      </c>
      <c r="G391" t="s">
        <v>427</v>
      </c>
      <c r="I391" t="s">
        <v>398</v>
      </c>
      <c r="L391" s="5" t="s">
        <v>398</v>
      </c>
      <c r="M391" s="1" t="s">
        <v>1</v>
      </c>
      <c r="N391" s="1"/>
      <c r="O391" s="2">
        <v>8.0095742777444301E-3</v>
      </c>
      <c r="P391" s="1"/>
      <c r="Q391" s="1"/>
      <c r="R391" s="2">
        <v>7.3597680477850496</v>
      </c>
      <c r="S391" s="2"/>
      <c r="T391" s="1"/>
      <c r="U391" s="1"/>
      <c r="V391" s="1">
        <v>1</v>
      </c>
      <c r="W391" s="1"/>
      <c r="X391" s="1"/>
      <c r="Y391" s="1">
        <v>21</v>
      </c>
      <c r="Z391" s="1"/>
      <c r="AA391" s="1"/>
    </row>
    <row r="392" spans="1:27" x14ac:dyDescent="0.3">
      <c r="A392" t="s">
        <v>60</v>
      </c>
      <c r="B392" t="s">
        <v>424</v>
      </c>
      <c r="C392" t="s">
        <v>425</v>
      </c>
      <c r="D392" t="s">
        <v>399</v>
      </c>
      <c r="E392" t="s">
        <v>427</v>
      </c>
      <c r="F392" t="s">
        <v>427</v>
      </c>
      <c r="G392" t="s">
        <v>427</v>
      </c>
      <c r="I392" t="s">
        <v>399</v>
      </c>
      <c r="L392" s="5" t="s">
        <v>399</v>
      </c>
      <c r="M392" s="1" t="s">
        <v>1</v>
      </c>
      <c r="N392" s="2">
        <v>5.9214987901615801E-3</v>
      </c>
      <c r="O392" s="1"/>
      <c r="P392" s="1"/>
      <c r="Q392" s="1"/>
      <c r="R392" s="1"/>
      <c r="S392" s="1"/>
      <c r="T392" s="1"/>
      <c r="U392" s="1">
        <v>1</v>
      </c>
      <c r="V392" s="1"/>
      <c r="W392" s="1"/>
      <c r="X392" s="1"/>
      <c r="Y392" s="1"/>
      <c r="Z392" s="1"/>
      <c r="AA392" s="1"/>
    </row>
    <row r="393" spans="1:27" x14ac:dyDescent="0.3">
      <c r="A393" t="s">
        <v>60</v>
      </c>
      <c r="B393" t="s">
        <v>424</v>
      </c>
      <c r="C393" t="s">
        <v>425</v>
      </c>
      <c r="D393" t="s">
        <v>400</v>
      </c>
      <c r="E393" t="s">
        <v>427</v>
      </c>
      <c r="F393" t="s">
        <v>427</v>
      </c>
      <c r="G393" t="s">
        <v>427</v>
      </c>
      <c r="I393" t="s">
        <v>400</v>
      </c>
      <c r="L393" s="5" t="s">
        <v>400</v>
      </c>
      <c r="M393" s="1" t="s">
        <v>1</v>
      </c>
      <c r="N393" s="1"/>
      <c r="O393" s="1"/>
      <c r="P393" s="1"/>
      <c r="Q393" s="1"/>
      <c r="R393" s="2">
        <v>10.258379978005401</v>
      </c>
      <c r="S393" s="2"/>
      <c r="T393" s="1"/>
      <c r="U393" s="1"/>
      <c r="V393" s="1"/>
      <c r="W393" s="1"/>
      <c r="X393" s="1"/>
      <c r="Y393" s="1">
        <v>23</v>
      </c>
      <c r="Z393" s="1"/>
      <c r="AA393" s="1"/>
    </row>
    <row r="394" spans="1:27" x14ac:dyDescent="0.3">
      <c r="A394" t="s">
        <v>60</v>
      </c>
      <c r="B394" t="s">
        <v>424</v>
      </c>
      <c r="C394" t="s">
        <v>425</v>
      </c>
      <c r="D394" t="s">
        <v>396</v>
      </c>
      <c r="E394" t="s">
        <v>427</v>
      </c>
      <c r="F394" t="s">
        <v>427</v>
      </c>
      <c r="G394" t="s">
        <v>427</v>
      </c>
      <c r="H394" t="s">
        <v>432</v>
      </c>
      <c r="I394" t="s">
        <v>401</v>
      </c>
      <c r="L394" s="5" t="s">
        <v>401</v>
      </c>
      <c r="M394" s="1" t="s">
        <v>1</v>
      </c>
      <c r="N394" s="2">
        <v>0.112515167075787</v>
      </c>
      <c r="O394" s="1"/>
      <c r="P394" s="1"/>
      <c r="Q394" s="2">
        <v>3.66773113614309</v>
      </c>
      <c r="R394" s="1"/>
      <c r="S394" s="1"/>
      <c r="T394" s="1"/>
      <c r="U394" s="1">
        <v>3</v>
      </c>
      <c r="V394" s="1"/>
      <c r="W394" s="1"/>
      <c r="X394" s="1">
        <v>108</v>
      </c>
      <c r="Y394" s="1"/>
      <c r="Z394" s="1"/>
      <c r="AA394" s="1"/>
    </row>
    <row r="395" spans="1:27" x14ac:dyDescent="0.3">
      <c r="K395" s="1" t="s">
        <v>61</v>
      </c>
      <c r="L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3">
      <c r="A396" t="s">
        <v>61</v>
      </c>
      <c r="B396" t="s">
        <v>424</v>
      </c>
      <c r="C396" t="s">
        <v>425</v>
      </c>
      <c r="D396" t="s">
        <v>402</v>
      </c>
      <c r="E396" t="s">
        <v>427</v>
      </c>
      <c r="F396" t="s">
        <v>427</v>
      </c>
      <c r="G396" t="s">
        <v>427</v>
      </c>
      <c r="I396" t="s">
        <v>402</v>
      </c>
      <c r="L396" s="5" t="s">
        <v>402</v>
      </c>
      <c r="M396" s="1" t="s">
        <v>1</v>
      </c>
      <c r="N396" s="1"/>
      <c r="O396" s="1"/>
      <c r="P396" s="1"/>
      <c r="Q396" s="1"/>
      <c r="R396" s="2">
        <v>6.7469934452579596E-3</v>
      </c>
      <c r="S396" s="2"/>
      <c r="T396" s="1"/>
      <c r="U396" s="1"/>
      <c r="V396" s="1"/>
      <c r="W396" s="1"/>
      <c r="X396" s="1"/>
      <c r="Y396" s="1">
        <v>1</v>
      </c>
      <c r="Z396" s="1"/>
      <c r="AA396" s="1"/>
    </row>
    <row r="397" spans="1:27" x14ac:dyDescent="0.3">
      <c r="K397" s="1" t="s">
        <v>62</v>
      </c>
      <c r="L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3">
      <c r="A398" t="s">
        <v>62</v>
      </c>
      <c r="B398" t="s">
        <v>424</v>
      </c>
      <c r="C398" t="s">
        <v>425</v>
      </c>
      <c r="D398" t="s">
        <v>403</v>
      </c>
      <c r="E398" t="s">
        <v>427</v>
      </c>
      <c r="F398" t="s">
        <v>427</v>
      </c>
      <c r="G398" t="s">
        <v>427</v>
      </c>
      <c r="I398" t="s">
        <v>403</v>
      </c>
      <c r="L398" s="5" t="s">
        <v>403</v>
      </c>
      <c r="M398" s="1" t="s">
        <v>1</v>
      </c>
      <c r="N398" s="1"/>
      <c r="O398" s="2">
        <v>0.51521766267569602</v>
      </c>
      <c r="P398" s="1"/>
      <c r="Q398" s="1"/>
      <c r="R398" s="1"/>
      <c r="S398" s="1"/>
      <c r="T398" s="1"/>
      <c r="U398" s="1"/>
      <c r="V398" s="1">
        <v>2</v>
      </c>
      <c r="W398" s="1"/>
      <c r="X398" s="1"/>
      <c r="Y398" s="1"/>
      <c r="Z398" s="1"/>
      <c r="AA398" s="1"/>
    </row>
    <row r="399" spans="1:27" x14ac:dyDescent="0.3">
      <c r="A399" t="s">
        <v>62</v>
      </c>
      <c r="B399" t="s">
        <v>424</v>
      </c>
      <c r="C399" t="s">
        <v>425</v>
      </c>
      <c r="D399" t="s">
        <v>404</v>
      </c>
      <c r="E399" t="s">
        <v>427</v>
      </c>
      <c r="F399" t="s">
        <v>427</v>
      </c>
      <c r="G399" t="s">
        <v>427</v>
      </c>
      <c r="I399" t="s">
        <v>404</v>
      </c>
      <c r="L399" s="5" t="s">
        <v>404</v>
      </c>
      <c r="M399" s="1" t="s">
        <v>1</v>
      </c>
      <c r="N399" s="1"/>
      <c r="O399" s="2">
        <v>1.7765641825322E-2</v>
      </c>
      <c r="P399" s="1"/>
      <c r="Q399" s="1"/>
      <c r="R399" s="1"/>
      <c r="S399" s="1"/>
      <c r="T399" s="1"/>
      <c r="U399" s="1"/>
      <c r="V399" s="1">
        <v>1</v>
      </c>
      <c r="W399" s="1"/>
      <c r="X399" s="1"/>
      <c r="Y399" s="1"/>
      <c r="Z399" s="1"/>
      <c r="AA399" s="1"/>
    </row>
    <row r="400" spans="1:27" x14ac:dyDescent="0.3">
      <c r="K400" s="1" t="s">
        <v>63</v>
      </c>
      <c r="L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3">
      <c r="A401" t="s">
        <v>63</v>
      </c>
      <c r="B401" t="s">
        <v>424</v>
      </c>
      <c r="C401" t="s">
        <v>425</v>
      </c>
      <c r="D401" t="s">
        <v>405</v>
      </c>
      <c r="E401" t="s">
        <v>427</v>
      </c>
      <c r="F401" t="s">
        <v>427</v>
      </c>
      <c r="G401" t="s">
        <v>427</v>
      </c>
      <c r="I401" t="s">
        <v>405</v>
      </c>
      <c r="L401" s="5" t="s">
        <v>405</v>
      </c>
      <c r="M401" s="1" t="s">
        <v>1</v>
      </c>
      <c r="N401" s="1"/>
      <c r="O401" s="1"/>
      <c r="P401" s="2">
        <v>1.0805113842824799E-2</v>
      </c>
      <c r="Q401" s="1"/>
      <c r="R401" s="1"/>
      <c r="S401" s="1"/>
      <c r="T401" s="1"/>
      <c r="U401" s="1"/>
      <c r="V401" s="1"/>
      <c r="W401" s="1">
        <v>1</v>
      </c>
      <c r="X401" s="1"/>
      <c r="Y401" s="1"/>
      <c r="Z401" s="1"/>
      <c r="AA401" s="1"/>
    </row>
    <row r="402" spans="1:27" x14ac:dyDescent="0.3">
      <c r="A402" t="s">
        <v>63</v>
      </c>
      <c r="B402" t="s">
        <v>424</v>
      </c>
      <c r="C402" t="s">
        <v>425</v>
      </c>
      <c r="D402" t="s">
        <v>406</v>
      </c>
      <c r="E402" t="s">
        <v>427</v>
      </c>
      <c r="F402" t="s">
        <v>427</v>
      </c>
      <c r="G402" t="s">
        <v>427</v>
      </c>
      <c r="I402" t="s">
        <v>406</v>
      </c>
      <c r="L402" s="5" t="s">
        <v>406</v>
      </c>
      <c r="M402" s="1" t="s">
        <v>1</v>
      </c>
      <c r="N402" s="2">
        <v>2.01063394590862E-2</v>
      </c>
      <c r="O402" s="1"/>
      <c r="P402" s="1"/>
      <c r="Q402" s="1"/>
      <c r="R402" s="1"/>
      <c r="S402" s="1"/>
      <c r="T402" s="1"/>
      <c r="U402" s="1">
        <v>1</v>
      </c>
      <c r="V402" s="1"/>
      <c r="W402" s="1"/>
      <c r="X402" s="1"/>
      <c r="Y402" s="1"/>
      <c r="Z402" s="1"/>
      <c r="AA402" s="1"/>
    </row>
    <row r="403" spans="1:27" x14ac:dyDescent="0.3">
      <c r="A403" t="s">
        <v>63</v>
      </c>
      <c r="B403" t="s">
        <v>424</v>
      </c>
      <c r="C403" t="s">
        <v>425</v>
      </c>
      <c r="D403" t="s">
        <v>407</v>
      </c>
      <c r="E403" t="s">
        <v>427</v>
      </c>
      <c r="F403" t="s">
        <v>427</v>
      </c>
      <c r="G403" t="s">
        <v>427</v>
      </c>
      <c r="I403" t="s">
        <v>407</v>
      </c>
      <c r="L403" s="5" t="s">
        <v>407</v>
      </c>
      <c r="M403" s="1" t="s">
        <v>1</v>
      </c>
      <c r="N403" s="1"/>
      <c r="O403" s="2">
        <v>0.28737973516851201</v>
      </c>
      <c r="P403" s="1"/>
      <c r="Q403" s="1"/>
      <c r="R403" s="1"/>
      <c r="S403" s="1"/>
      <c r="T403" s="1"/>
      <c r="U403" s="1"/>
      <c r="V403" s="1">
        <v>3</v>
      </c>
      <c r="W403" s="1"/>
      <c r="X403" s="1"/>
      <c r="Y403" s="1"/>
      <c r="Z403" s="1"/>
      <c r="AA403" s="1"/>
    </row>
    <row r="404" spans="1:27" x14ac:dyDescent="0.3">
      <c r="A404" t="s">
        <v>63</v>
      </c>
      <c r="B404" t="s">
        <v>424</v>
      </c>
      <c r="C404" t="s">
        <v>425</v>
      </c>
      <c r="D404" t="s">
        <v>408</v>
      </c>
      <c r="E404" t="s">
        <v>427</v>
      </c>
      <c r="F404" t="s">
        <v>427</v>
      </c>
      <c r="G404" t="s">
        <v>427</v>
      </c>
      <c r="I404" t="s">
        <v>408</v>
      </c>
      <c r="L404" s="5" t="s">
        <v>408</v>
      </c>
      <c r="M404" s="1" t="s">
        <v>1</v>
      </c>
      <c r="N404" s="1"/>
      <c r="O404" s="1"/>
      <c r="P404" s="1"/>
      <c r="Q404" s="1"/>
      <c r="R404" s="2">
        <v>0.13667274777657401</v>
      </c>
      <c r="S404" s="2"/>
      <c r="T404" s="1"/>
      <c r="U404" s="1"/>
      <c r="V404" s="1"/>
      <c r="W404" s="1"/>
      <c r="X404" s="1"/>
      <c r="Y404" s="1">
        <v>5</v>
      </c>
      <c r="Z404" s="1"/>
      <c r="AA404" s="1"/>
    </row>
    <row r="405" spans="1:27" x14ac:dyDescent="0.3">
      <c r="K405" s="1" t="s">
        <v>64</v>
      </c>
      <c r="L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3">
      <c r="A406" t="s">
        <v>64</v>
      </c>
      <c r="B406" t="s">
        <v>424</v>
      </c>
      <c r="C406" t="s">
        <v>425</v>
      </c>
      <c r="D406" t="s">
        <v>409</v>
      </c>
      <c r="E406" t="s">
        <v>426</v>
      </c>
      <c r="F406" t="s">
        <v>427</v>
      </c>
      <c r="G406" t="s">
        <v>427</v>
      </c>
      <c r="I406" t="s">
        <v>409</v>
      </c>
      <c r="K406" s="3"/>
      <c r="L406" s="6" t="s">
        <v>409</v>
      </c>
      <c r="M406" s="3" t="s">
        <v>5</v>
      </c>
      <c r="N406" s="3"/>
      <c r="O406" s="3"/>
      <c r="P406" s="4">
        <v>6.8315908299091399</v>
      </c>
      <c r="Q406" s="4">
        <v>27.255113530821799</v>
      </c>
      <c r="R406" s="4">
        <v>0.58096568163765205</v>
      </c>
      <c r="S406" s="2">
        <f>T406/0.5</f>
        <v>0.50370420996659804</v>
      </c>
      <c r="T406" s="4">
        <v>0.25185210498329902</v>
      </c>
      <c r="U406" s="3"/>
      <c r="V406" s="3"/>
      <c r="W406" s="3">
        <v>214</v>
      </c>
      <c r="X406" s="3">
        <v>420</v>
      </c>
      <c r="Y406" s="3">
        <v>1</v>
      </c>
      <c r="Z406" s="1">
        <f>AA406/0.5</f>
        <v>40</v>
      </c>
      <c r="AA406" s="3">
        <v>20</v>
      </c>
    </row>
  </sheetData>
  <autoFilter ref="B1:I1" xr:uid="{2BA27414-21AE-453A-B4E3-F418C40EFB36}"/>
  <mergeCells count="5">
    <mergeCell ref="K1:K2"/>
    <mergeCell ref="M1:M2"/>
    <mergeCell ref="L1:L2"/>
    <mergeCell ref="N1:T1"/>
    <mergeCell ref="U1:AA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table_final_to_excel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</dc:creator>
  <cp:lastModifiedBy>Pedro Martins</cp:lastModifiedBy>
  <dcterms:created xsi:type="dcterms:W3CDTF">2025-09-12T17:33:36Z</dcterms:created>
  <dcterms:modified xsi:type="dcterms:W3CDTF">2025-11-17T12:25:11Z</dcterms:modified>
</cp:coreProperties>
</file>